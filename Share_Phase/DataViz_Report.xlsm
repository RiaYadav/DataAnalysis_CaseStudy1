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827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iary\Documents\Projects\DataAnalysis\Data Analysis Case Study 1\"/>
    </mc:Choice>
  </mc:AlternateContent>
  <xr:revisionPtr revIDLastSave="0" documentId="13_ncr:40009_{57E6A68E-5275-42BA-9C11-E33D66C7B7BB}" xr6:coauthVersionLast="47" xr6:coauthVersionMax="47" xr10:uidLastSave="{00000000-0000-0000-0000-000000000000}"/>
  <bookViews>
    <workbookView xWindow="-108" yWindow="-108" windowWidth="23256" windowHeight="12456" activeTab="4"/>
  </bookViews>
  <sheets>
    <sheet name="UserData" sheetId="1" r:id="rId1"/>
    <sheet name="Viz_DataTrend" sheetId="13" r:id="rId2"/>
    <sheet name="Viz_User&amp;UsageDistribution" sheetId="3" r:id="rId3"/>
    <sheet name="Viz_UserAvgRideLength" sheetId="4" r:id="rId4"/>
    <sheet name="Viz_StartStation" sheetId="14" r:id="rId5"/>
    <sheet name="rideableTypeData" sheetId="8" r:id="rId6"/>
    <sheet name="Viz_rideableType" sheetId="9" r:id="rId7"/>
  </sheets>
  <definedNames>
    <definedName name="_xlnm._FilterDatabase" localSheetId="0" hidden="1">UserData!$A$1:$I$13</definedName>
  </definedNames>
  <calcPr calcId="0"/>
  <pivotCaches>
    <pivotCache cacheId="164" r:id="rId8"/>
    <pivotCache cacheId="157" r:id="rId9"/>
  </pivotCaches>
</workbook>
</file>

<file path=xl/calcChain.xml><?xml version="1.0" encoding="utf-8"?>
<calcChain xmlns="http://schemas.openxmlformats.org/spreadsheetml/2006/main">
  <c r="K6" i="4" l="1"/>
  <c r="I6" i="4"/>
  <c r="I5" i="4"/>
  <c r="M3" i="9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B3" i="1"/>
  <c r="B4" i="1"/>
  <c r="B5" i="1"/>
  <c r="B6" i="1"/>
  <c r="B7" i="1"/>
  <c r="B8" i="1"/>
  <c r="B9" i="1"/>
  <c r="B10" i="1"/>
  <c r="B11" i="1"/>
  <c r="B12" i="1"/>
  <c r="B13" i="1"/>
  <c r="B2" i="1"/>
</calcChain>
</file>

<file path=xl/sharedStrings.xml><?xml version="1.0" encoding="utf-8"?>
<sst xmlns="http://schemas.openxmlformats.org/spreadsheetml/2006/main" count="182" uniqueCount="38">
  <si>
    <t>Months</t>
  </si>
  <si>
    <t>Avg_ride_length</t>
  </si>
  <si>
    <t>total_members</t>
  </si>
  <si>
    <t>count_of_start_station</t>
  </si>
  <si>
    <t>start_station_name</t>
  </si>
  <si>
    <t>count_of_end_station</t>
  </si>
  <si>
    <t>end_station_name</t>
  </si>
  <si>
    <t>Clark St &amp; Elm St</t>
  </si>
  <si>
    <t>Dearborn St &amp; Erie St</t>
  </si>
  <si>
    <t>Lake Shore Dr &amp; Monroe St</t>
  </si>
  <si>
    <t>Millennium Park</t>
  </si>
  <si>
    <t>Streeter Dr &amp; Grand Ave</t>
  </si>
  <si>
    <t>Lake Shore Dr &amp; North Blvd</t>
  </si>
  <si>
    <t>Months in Words</t>
  </si>
  <si>
    <t>Row Labels</t>
  </si>
  <si>
    <t>Jan</t>
  </si>
  <si>
    <t>Feb</t>
  </si>
  <si>
    <t>Mar</t>
  </si>
  <si>
    <t>Apr</t>
  </si>
  <si>
    <t>May</t>
  </si>
  <si>
    <t>Jun</t>
  </si>
  <si>
    <t>Grand Total</t>
  </si>
  <si>
    <t>Column Labels</t>
  </si>
  <si>
    <t>Sum of total_members</t>
  </si>
  <si>
    <t>casual riders</t>
  </si>
  <si>
    <t>annual members_casual riders</t>
  </si>
  <si>
    <t>annual members</t>
  </si>
  <si>
    <t>Sum of Avg_ride_length</t>
  </si>
  <si>
    <t>Sum of count_of_start_station</t>
  </si>
  <si>
    <t>Months in Word</t>
  </si>
  <si>
    <t>rideable_type</t>
  </si>
  <si>
    <t>count_of_rideable_type_used</t>
  </si>
  <si>
    <t>Avg_ride_length_time</t>
  </si>
  <si>
    <t>classic_bike</t>
  </si>
  <si>
    <t>docked_bike</t>
  </si>
  <si>
    <t>electric_bike</t>
  </si>
  <si>
    <t>Sum of count_of_rideable_type_used</t>
  </si>
  <si>
    <t>annual members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</si>
</sst>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[$-14009]hh:mm:ss;@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hadow/>
      <sz val="9"/>
      <color rgb="FF00B0F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4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0" fillId="0" borderId="0" xfId="0" applyNumberFormat="1"/>
    <xf numFmtId="0" fontId="16" fillId="0" borderId="0" xfId="0" applyFont="1"/>
    <xf numFmtId="49" fontId="16" fillId="0" borderId="0" xfId="0" applyNumberFormat="1" applyFont="1"/>
    <xf numFmtId="0" fontId="0" fillId="0" borderId="0" xfId="0" applyAlignment="1">
      <alignment horizontal="left" indent="1"/>
    </xf>
    <xf numFmtId="165" fontId="0" fillId="0" borderId="0" xfId="0" applyNumberFormat="1"/>
    <xf numFmtId="0" fontId="18" fillId="0" borderId="0" xfId="0" applyFont="1" applyAlignment="1">
      <alignment horizontal="center" vertical="center" readingOrder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66FFFF"/>
      <color rgb="FFFF9933"/>
      <color rgb="FFFFFF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[DataViz_Report.xlsm]Viz_DataTrend!PivotTable14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data</a:t>
            </a:r>
            <a:r>
              <a:rPr lang="en-US" baseline="0">
                <a:solidFill>
                  <a:sysClr val="windowText" lastClr="000000"/>
                </a:solidFill>
              </a:rPr>
              <a:t> trend OF 2021</a:t>
            </a:r>
            <a:endParaRPr lang="en-US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layout>
            <c:manualLayout>
              <c:x val="-5.0000000000000001E-4"/>
              <c:y val="-1.38888888888888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layout>
            <c:manualLayout>
              <c:x val="-6.161111111111111E-2"/>
              <c:y val="-4.629629629629633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layout>
            <c:manualLayout>
              <c:x val="-7.5499999999999998E-2"/>
              <c:y val="-6.94444444444445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layout>
            <c:manualLayout>
              <c:x val="-7.2722222222222216E-2"/>
              <c:y val="-4.166666666666675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layout>
            <c:manualLayout>
              <c:x val="-5.8055555555555555E-2"/>
              <c:y val="-4.629629629629629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layout>
            <c:manualLayout>
              <c:x val="-5.527777777777778E-2"/>
              <c:y val="-3.240740740740740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Viz_DataTrend!$B$3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5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5.527777777777778E-2"/>
                  <c:y val="-3.24074074074074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65-408E-BF0A-4E5BC3E5A61A}"/>
                </c:ext>
              </c:extLst>
            </c:dLbl>
            <c:dLbl>
              <c:idx val="1"/>
              <c:layout>
                <c:manualLayout>
                  <c:x val="-5.8055555555555555E-2"/>
                  <c:y val="-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065-408E-BF0A-4E5BC3E5A61A}"/>
                </c:ext>
              </c:extLst>
            </c:dLbl>
            <c:dLbl>
              <c:idx val="2"/>
              <c:layout>
                <c:manualLayout>
                  <c:x val="-7.2722222222222216E-2"/>
                  <c:y val="-4.16666666666667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065-408E-BF0A-4E5BC3E5A61A}"/>
                </c:ext>
              </c:extLst>
            </c:dLbl>
            <c:dLbl>
              <c:idx val="3"/>
              <c:layout>
                <c:manualLayout>
                  <c:x val="-7.5499999999999998E-2"/>
                  <c:y val="-6.94444444444445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65-408E-BF0A-4E5BC3E5A61A}"/>
                </c:ext>
              </c:extLst>
            </c:dLbl>
            <c:dLbl>
              <c:idx val="4"/>
              <c:layout>
                <c:manualLayout>
                  <c:x val="-6.161111111111111E-2"/>
                  <c:y val="-4.62962962962963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65-408E-BF0A-4E5BC3E5A61A}"/>
                </c:ext>
              </c:extLst>
            </c:dLbl>
            <c:dLbl>
              <c:idx val="5"/>
              <c:layout>
                <c:manualLayout>
                  <c:x val="-5.0000000000000001E-4"/>
                  <c:y val="-1.38888888888888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65-408E-BF0A-4E5BC3E5A6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Viz_DataTrend!$A$4:$A$10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Viz_DataTrend!$B$4:$B$10</c:f>
              <c:numCache>
                <c:formatCode>General</c:formatCode>
                <c:ptCount val="6"/>
                <c:pt idx="0">
                  <c:v>96829</c:v>
                </c:pt>
                <c:pt idx="1">
                  <c:v>49622</c:v>
                </c:pt>
                <c:pt idx="2">
                  <c:v>228496</c:v>
                </c:pt>
                <c:pt idx="3">
                  <c:v>337229</c:v>
                </c:pt>
                <c:pt idx="4">
                  <c:v>531631</c:v>
                </c:pt>
                <c:pt idx="5">
                  <c:v>729590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65-408E-BF0A-4E5BC3E5A61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1680902975"/>
        <c:axId val="1680905887"/>
      </c:lineChart>
      <c:catAx>
        <c:axId val="16809029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>
                    <a:solidFill>
                      <a:sysClr val="windowText" lastClr="000000"/>
                    </a:solidFill>
                  </a:rPr>
                  <a:t>2021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905887"/>
        <c:crosses val="autoZero"/>
        <c:auto val="1"/>
        <c:lblAlgn val="ctr"/>
        <c:lblOffset val="100"/>
        <c:noMultiLvlLbl val="0"/>
      </c:catAx>
      <c:valAx>
        <c:axId val="168090588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>
                    <a:solidFill>
                      <a:sysClr val="windowText" lastClr="000000"/>
                    </a:solidFill>
                  </a:rPr>
                  <a:t>Sum</a:t>
                </a:r>
                <a:r>
                  <a:rPr lang="en-IN" baseline="0">
                    <a:solidFill>
                      <a:sysClr val="windowText" lastClr="000000"/>
                    </a:solidFill>
                  </a:rPr>
                  <a:t>  Total</a:t>
                </a:r>
                <a:endParaRPr lang="en-IN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902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9933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[DataViz_Report.xlsm]Viz_User&amp;UsageDistribution!PivotTable2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>
                <a:solidFill>
                  <a:srgbClr val="66FFFF"/>
                </a:solidFill>
              </a:rPr>
              <a:t>DISTRIBUTION OF CYCLISTIC USERS</a:t>
            </a:r>
            <a:r>
              <a:rPr lang="en-IN"/>
              <a:t> </a:t>
            </a:r>
          </a:p>
        </c:rich>
      </c:tx>
      <c:layout>
        <c:manualLayout>
          <c:xMode val="edge"/>
          <c:yMode val="edge"/>
          <c:x val="0.14909156961911643"/>
          <c:y val="9.79741521947062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2C07EB4A-727F-4A48-969D-1873E128F15F}" type="VALUE">
                  <a:rPr lang="en-US"/>
                  <a:pPr>
                    <a:defRPr/>
                  </a:pPr>
                  <a:t>[VALUE]</a:t>
                </a:fld>
                <a:endParaRPr lang="en-IN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'Viz_User&amp;UsageDistribution'!$B$3:$B$4</c:f>
              <c:strCache>
                <c:ptCount val="1"/>
                <c:pt idx="0">
                  <c:v>Jan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'Viz_User&amp;UsageDistribution'!$A$5:$A$7</c:f>
              <c:strCache>
                <c:ptCount val="2"/>
                <c:pt idx="0">
                  <c:v>annual members</c:v>
                </c:pt>
                <c:pt idx="1">
                  <c:v>casual riders</c:v>
                </c:pt>
              </c:strCache>
            </c:strRef>
          </c:cat>
          <c:val>
            <c:numRef>
              <c:f>'Viz_User&amp;UsageDistribution'!$B$5:$B$7</c:f>
              <c:numCache>
                <c:formatCode>General</c:formatCode>
                <c:ptCount val="2"/>
                <c:pt idx="0">
                  <c:v>78713</c:v>
                </c:pt>
                <c:pt idx="1">
                  <c:v>18116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05-4609-B809-CDC2360922D3}"/>
            </c:ext>
          </c:extLst>
        </c:ser>
        <c:ser>
          <c:idx val="1"/>
          <c:order val="1"/>
          <c:tx>
            <c:strRef>
              <c:f>'Viz_User&amp;UsageDistribution'!$C$3:$C$4</c:f>
              <c:strCache>
                <c:ptCount val="1"/>
                <c:pt idx="0">
                  <c:v>Feb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C07EB4A-727F-4A48-969D-1873E128F15F}" type="VALUE">
                      <a:rPr lang="en-US"/>
                      <a:pPr/>
                      <a:t>[VALUE]</a:t>
                    </a:fld>
                    <a:endParaRPr lang="en-IN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1-AE05-4609-B809-CDC2360922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'Viz_User&amp;UsageDistribution'!$A$5:$A$7</c:f>
              <c:strCache>
                <c:ptCount val="2"/>
                <c:pt idx="0">
                  <c:v>annual members</c:v>
                </c:pt>
                <c:pt idx="1">
                  <c:v>casual riders</c:v>
                </c:pt>
              </c:strCache>
            </c:strRef>
          </c:cat>
          <c:val>
            <c:numRef>
              <c:f>'Viz_User&amp;UsageDistribution'!$C$5:$C$7</c:f>
              <c:numCache>
                <c:formatCode>General</c:formatCode>
                <c:ptCount val="2"/>
                <c:pt idx="0">
                  <c:v>39491</c:v>
                </c:pt>
                <c:pt idx="1">
                  <c:v>10131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E05-4609-B809-CDC2360922D3}"/>
            </c:ext>
          </c:extLst>
        </c:ser>
        <c:ser>
          <c:idx val="2"/>
          <c:order val="2"/>
          <c:tx>
            <c:strRef>
              <c:f>'Viz_User&amp;UsageDistribution'!$D$3:$D$4</c:f>
              <c:strCache>
                <c:ptCount val="1"/>
                <c:pt idx="0">
                  <c:v>Mar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'Viz_User&amp;UsageDistribution'!$A$5:$A$7</c:f>
              <c:strCache>
                <c:ptCount val="2"/>
                <c:pt idx="0">
                  <c:v>annual members</c:v>
                </c:pt>
                <c:pt idx="1">
                  <c:v>casual riders</c:v>
                </c:pt>
              </c:strCache>
            </c:strRef>
          </c:cat>
          <c:val>
            <c:numRef>
              <c:f>'Viz_User&amp;UsageDistribution'!$D$5:$D$7</c:f>
              <c:numCache>
                <c:formatCode>General</c:formatCode>
                <c:ptCount val="2"/>
                <c:pt idx="0">
                  <c:v>144463</c:v>
                </c:pt>
                <c:pt idx="1">
                  <c:v>84033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E05-4609-B809-CDC2360922D3}"/>
            </c:ext>
          </c:extLst>
        </c:ser>
        <c:ser>
          <c:idx val="3"/>
          <c:order val="3"/>
          <c:tx>
            <c:strRef>
              <c:f>'Viz_User&amp;UsageDistribution'!$E$3:$E$4</c:f>
              <c:strCache>
                <c:ptCount val="1"/>
                <c:pt idx="0">
                  <c:v>Apr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'Viz_User&amp;UsageDistribution'!$A$5:$A$7</c:f>
              <c:strCache>
                <c:ptCount val="2"/>
                <c:pt idx="0">
                  <c:v>annual members</c:v>
                </c:pt>
                <c:pt idx="1">
                  <c:v>casual riders</c:v>
                </c:pt>
              </c:strCache>
            </c:strRef>
          </c:cat>
          <c:val>
            <c:numRef>
              <c:f>'Viz_User&amp;UsageDistribution'!$E$5:$E$7</c:f>
              <c:numCache>
                <c:formatCode>General</c:formatCode>
                <c:ptCount val="2"/>
                <c:pt idx="0">
                  <c:v>200628</c:v>
                </c:pt>
                <c:pt idx="1">
                  <c:v>136601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E05-4609-B809-CDC2360922D3}"/>
            </c:ext>
          </c:extLst>
        </c:ser>
        <c:ser>
          <c:idx val="4"/>
          <c:order val="4"/>
          <c:tx>
            <c:strRef>
              <c:f>'Viz_User&amp;UsageDistribution'!$F$3:$F$4</c:f>
              <c:strCache>
                <c:ptCount val="1"/>
                <c:pt idx="0">
                  <c:v>May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'Viz_User&amp;UsageDistribution'!$A$5:$A$7</c:f>
              <c:strCache>
                <c:ptCount val="2"/>
                <c:pt idx="0">
                  <c:v>annual members</c:v>
                </c:pt>
                <c:pt idx="1">
                  <c:v>casual riders</c:v>
                </c:pt>
              </c:strCache>
            </c:strRef>
          </c:cat>
          <c:val>
            <c:numRef>
              <c:f>'Viz_User&amp;UsageDistribution'!$F$5:$F$7</c:f>
              <c:numCache>
                <c:formatCode>General</c:formatCode>
                <c:ptCount val="2"/>
                <c:pt idx="0">
                  <c:v>274715</c:v>
                </c:pt>
                <c:pt idx="1">
                  <c:v>256916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E05-4609-B809-CDC2360922D3}"/>
            </c:ext>
          </c:extLst>
        </c:ser>
        <c:ser>
          <c:idx val="5"/>
          <c:order val="5"/>
          <c:tx>
            <c:strRef>
              <c:f>'Viz_User&amp;UsageDistribution'!$G$3:$G$4</c:f>
              <c:strCache>
                <c:ptCount val="1"/>
                <c:pt idx="0">
                  <c:v>Jun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'Viz_User&amp;UsageDistribution'!$A$5:$A$7</c:f>
              <c:strCache>
                <c:ptCount val="2"/>
                <c:pt idx="0">
                  <c:v>annual members</c:v>
                </c:pt>
                <c:pt idx="1">
                  <c:v>casual riders</c:v>
                </c:pt>
              </c:strCache>
            </c:strRef>
          </c:cat>
          <c:val>
            <c:numRef>
              <c:f>'Viz_User&amp;UsageDistribution'!$G$5:$G$7</c:f>
              <c:numCache>
                <c:formatCode>General</c:formatCode>
                <c:ptCount val="2"/>
                <c:pt idx="0">
                  <c:v>358912</c:v>
                </c:pt>
                <c:pt idx="1">
                  <c:v>370678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E05-4609-B809-CDC2360922D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50563711"/>
        <c:axId val="1650564543"/>
      </c:barChart>
      <c:catAx>
        <c:axId val="1650563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0564543"/>
        <c:crosses val="autoZero"/>
        <c:auto val="1"/>
        <c:lblAlgn val="ctr"/>
        <c:lblOffset val="100"/>
        <c:noMultiLvlLbl val="0"/>
      </c:catAx>
      <c:valAx>
        <c:axId val="1650564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Sum Total of Users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0563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[DataViz_Report.xlsm]Viz_UserAvgRideLength!PivotTable3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>
                <a:solidFill>
                  <a:srgbClr val="66FFFF"/>
                </a:solidFill>
              </a:rPr>
              <a:t>DISTRIBUTION OF AVG RIDE_LENGTH</a:t>
            </a:r>
          </a:p>
        </c:rich>
      </c:tx>
      <c:layout>
        <c:manualLayout>
          <c:xMode val="edge"/>
          <c:yMode val="edge"/>
          <c:x val="0.15511792113882017"/>
          <c:y val="1.13286633485195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square"/>
          <c:size val="6"/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triangle"/>
          <c:size val="6"/>
          <c:spPr>
            <a:solidFill>
              <a:schemeClr val="accent3"/>
            </a:solidFill>
            <a:ln w="9525">
              <a:solidFill>
                <a:schemeClr val="accent3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4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5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6"/>
          <c:spPr>
            <a:solidFill>
              <a:schemeClr val="accent6"/>
            </a:solidFill>
            <a:ln w="9525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</c:pivotFmt>
      <c:pivotFmt>
        <c:idx val="8"/>
        <c:spPr>
          <a:solidFill>
            <a:schemeClr val="accent3"/>
          </a:solidFill>
          <a:ln>
            <a:noFill/>
          </a:ln>
          <a:effectLst/>
        </c:spPr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Viz_UserAvgRideLength!$B$3:$B$4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Viz_UserAvgRideLength!$A$5:$A$7</c:f>
              <c:strCache>
                <c:ptCount val="2"/>
                <c:pt idx="0">
                  <c:v>annual members</c:v>
                </c:pt>
                <c:pt idx="1">
                  <c:v>casual riders</c:v>
                </c:pt>
              </c:strCache>
            </c:strRef>
          </c:cat>
          <c:val>
            <c:numRef>
              <c:f>Viz_UserAvgRideLength!$B$5:$B$7</c:f>
              <c:numCache>
                <c:formatCode>[$-14009]hh:mm:ss;@</c:formatCode>
                <c:ptCount val="2"/>
                <c:pt idx="0">
                  <c:v>8.8078703703703704E-3</c:v>
                </c:pt>
                <c:pt idx="1">
                  <c:v>1.5185185185185185E-2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70-45D2-83FD-0AF2CCE1C110}"/>
            </c:ext>
          </c:extLst>
        </c:ser>
        <c:ser>
          <c:idx val="1"/>
          <c:order val="1"/>
          <c:tx>
            <c:strRef>
              <c:f>Viz_UserAvgRideLength!$C$3:$C$4</c:f>
              <c:strCache>
                <c:ptCount val="1"/>
                <c:pt idx="0">
                  <c:v>Feb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Viz_UserAvgRideLength!$A$5:$A$7</c:f>
              <c:strCache>
                <c:ptCount val="2"/>
                <c:pt idx="0">
                  <c:v>annual members</c:v>
                </c:pt>
                <c:pt idx="1">
                  <c:v>casual riders</c:v>
                </c:pt>
              </c:strCache>
            </c:strRef>
          </c:cat>
          <c:val>
            <c:numRef>
              <c:f>Viz_UserAvgRideLength!$C$5:$C$7</c:f>
              <c:numCache>
                <c:formatCode>[$-14009]hh:mm:ss;@</c:formatCode>
                <c:ptCount val="2"/>
                <c:pt idx="0">
                  <c:v>1.1018518518518518E-2</c:v>
                </c:pt>
                <c:pt idx="1">
                  <c:v>2.2141203703703705E-2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70-45D2-83FD-0AF2CCE1C110}"/>
            </c:ext>
          </c:extLst>
        </c:ser>
        <c:ser>
          <c:idx val="2"/>
          <c:order val="2"/>
          <c:tx>
            <c:strRef>
              <c:f>Viz_UserAvgRideLength!$D$3:$D$4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Viz_UserAvgRideLength!$A$5:$A$7</c:f>
              <c:strCache>
                <c:ptCount val="2"/>
                <c:pt idx="0">
                  <c:v>annual members</c:v>
                </c:pt>
                <c:pt idx="1">
                  <c:v>casual riders</c:v>
                </c:pt>
              </c:strCache>
            </c:strRef>
          </c:cat>
          <c:val>
            <c:numRef>
              <c:f>Viz_UserAvgRideLength!$D$5:$D$7</c:f>
              <c:numCache>
                <c:formatCode>[$-14009]hh:mm:ss;@</c:formatCode>
                <c:ptCount val="2"/>
                <c:pt idx="0">
                  <c:v>9.6296296296296303E-3</c:v>
                </c:pt>
                <c:pt idx="1">
                  <c:v>2.2314814814814815E-2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170-45D2-83FD-0AF2CCE1C110}"/>
            </c:ext>
          </c:extLst>
        </c:ser>
        <c:ser>
          <c:idx val="3"/>
          <c:order val="3"/>
          <c:tx>
            <c:strRef>
              <c:f>Viz_UserAvgRideLength!$E$3:$E$4</c:f>
              <c:strCache>
                <c:ptCount val="1"/>
                <c:pt idx="0">
                  <c:v>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Viz_UserAvgRideLength!$A$5:$A$7</c:f>
              <c:strCache>
                <c:ptCount val="2"/>
                <c:pt idx="0">
                  <c:v>annual members</c:v>
                </c:pt>
                <c:pt idx="1">
                  <c:v>casual riders</c:v>
                </c:pt>
              </c:strCache>
            </c:strRef>
          </c:cat>
          <c:val>
            <c:numRef>
              <c:f>Viz_UserAvgRideLength!$E$5:$E$7</c:f>
              <c:numCache>
                <c:formatCode>[$-14009]hh:mm:ss;@</c:formatCode>
                <c:ptCount val="2"/>
                <c:pt idx="0">
                  <c:v>1.0081018518518519E-2</c:v>
                </c:pt>
                <c:pt idx="1">
                  <c:v>2.1990740740740741E-2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170-45D2-83FD-0AF2CCE1C110}"/>
            </c:ext>
          </c:extLst>
        </c:ser>
        <c:ser>
          <c:idx val="4"/>
          <c:order val="4"/>
          <c:tx>
            <c:strRef>
              <c:f>Viz_UserAvgRideLength!$F$3:$F$4</c:f>
              <c:strCache>
                <c:ptCount val="1"/>
                <c:pt idx="0">
                  <c:v>May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Viz_UserAvgRideLength!$A$5:$A$7</c:f>
              <c:strCache>
                <c:ptCount val="2"/>
                <c:pt idx="0">
                  <c:v>annual members</c:v>
                </c:pt>
                <c:pt idx="1">
                  <c:v>casual riders</c:v>
                </c:pt>
              </c:strCache>
            </c:strRef>
          </c:cat>
          <c:val>
            <c:numRef>
              <c:f>Viz_UserAvgRideLength!$F$5:$F$7</c:f>
              <c:numCache>
                <c:formatCode>[$-14009]hh:mm:ss;@</c:formatCode>
                <c:ptCount val="2"/>
                <c:pt idx="0">
                  <c:v>1.0046296296296296E-2</c:v>
                </c:pt>
                <c:pt idx="1">
                  <c:v>2.2326388888888885E-2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170-45D2-83FD-0AF2CCE1C110}"/>
            </c:ext>
          </c:extLst>
        </c:ser>
        <c:ser>
          <c:idx val="5"/>
          <c:order val="5"/>
          <c:tx>
            <c:strRef>
              <c:f>Viz_UserAvgRideLength!$G$3:$G$4</c:f>
              <c:strCache>
                <c:ptCount val="1"/>
                <c:pt idx="0">
                  <c:v>Jun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Viz_UserAvgRideLength!$A$5:$A$7</c:f>
              <c:strCache>
                <c:ptCount val="2"/>
                <c:pt idx="0">
                  <c:v>annual members</c:v>
                </c:pt>
                <c:pt idx="1">
                  <c:v>casual riders</c:v>
                </c:pt>
              </c:strCache>
            </c:strRef>
          </c:cat>
          <c:val>
            <c:numRef>
              <c:f>Viz_UserAvgRideLength!$G$5:$G$7</c:f>
              <c:numCache>
                <c:formatCode>[$-14009]hh:mm:ss;@</c:formatCode>
                <c:ptCount val="2"/>
                <c:pt idx="0">
                  <c:v>1.0011574074074074E-2</c:v>
                </c:pt>
                <c:pt idx="1">
                  <c:v>2.071759259259259E-2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170-45D2-83FD-0AF2CCE1C11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373138159"/>
        <c:axId val="1373150223"/>
      </c:barChart>
      <c:catAx>
        <c:axId val="13731381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3150223"/>
        <c:crosses val="autoZero"/>
        <c:auto val="1"/>
        <c:lblAlgn val="ctr"/>
        <c:lblOffset val="100"/>
        <c:noMultiLvlLbl val="0"/>
      </c:catAx>
      <c:valAx>
        <c:axId val="1373150223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>
                    <a:solidFill>
                      <a:schemeClr val="bg1"/>
                    </a:solidFill>
                  </a:rPr>
                  <a:t>avg time for ride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14009]hh:mm:ss;@" sourceLinked="1"/>
        <c:majorTickMark val="none"/>
        <c:minorTickMark val="none"/>
        <c:tickLblPos val="nextTo"/>
        <c:crossAx val="1373138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75000"/>
        <a:lumOff val="2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[DataViz_Report.xlsm]Viz_StartStation!PivotTable15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>
                <a:solidFill>
                  <a:srgbClr val="66FFFF"/>
                </a:solidFill>
              </a:rPr>
              <a:t>MOST</a:t>
            </a:r>
            <a:r>
              <a:rPr lang="en-IN" sz="1400" baseline="0">
                <a:solidFill>
                  <a:srgbClr val="66FFFF"/>
                </a:solidFill>
              </a:rPr>
              <a:t> USED START STATION </a:t>
            </a:r>
            <a:endParaRPr lang="en-IN" sz="1400">
              <a:solidFill>
                <a:srgbClr val="66FFFF"/>
              </a:solidFill>
            </a:endParaRPr>
          </a:p>
        </c:rich>
      </c:tx>
      <c:layout>
        <c:manualLayout>
          <c:xMode val="edge"/>
          <c:yMode val="edge"/>
          <c:x val="0.35037730908160469"/>
          <c:y val="1.80495631539208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noFill/>
          <a:ln w="9525" cap="flat" cmpd="sng" algn="ctr">
            <a:solidFill>
              <a:schemeClr val="accent6"/>
            </a:solidFill>
            <a:miter lim="800000"/>
          </a:ln>
          <a:effectLst>
            <a:glow rad="63500">
              <a:schemeClr val="accent6">
                <a:satMod val="175000"/>
                <a:alpha val="25000"/>
              </a:schemeClr>
            </a:glow>
          </a:effectLst>
        </c:spPr>
        <c:marker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noFill/>
          <a:ln w="9525" cap="flat" cmpd="sng" algn="ctr">
            <a:solidFill>
              <a:schemeClr val="accent6"/>
            </a:solidFill>
            <a:miter lim="800000"/>
          </a:ln>
          <a:effectLst>
            <a:glow rad="63500">
              <a:schemeClr val="accent6">
                <a:satMod val="175000"/>
                <a:alpha val="25000"/>
              </a:schemeClr>
            </a:glow>
          </a:effectLst>
        </c:spPr>
        <c:marker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noFill/>
          <a:ln w="9525" cap="flat" cmpd="sng" algn="ctr">
            <a:solidFill>
              <a:schemeClr val="accent6"/>
            </a:solidFill>
            <a:miter lim="800000"/>
          </a:ln>
          <a:effectLst>
            <a:glow rad="63500">
              <a:schemeClr val="accent6">
                <a:satMod val="175000"/>
                <a:alpha val="25000"/>
              </a:schemeClr>
            </a:glow>
          </a:effectLst>
        </c:spPr>
        <c:marker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noFill/>
          <a:ln w="9525" cap="flat" cmpd="sng" algn="ctr">
            <a:solidFill>
              <a:schemeClr val="accent6"/>
            </a:solidFill>
            <a:miter lim="800000"/>
          </a:ln>
          <a:effectLst>
            <a:glow rad="63500">
              <a:schemeClr val="accent6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noFill/>
          <a:ln w="9525" cap="flat" cmpd="sng" algn="ctr">
            <a:solidFill>
              <a:schemeClr val="accent6"/>
            </a:solidFill>
            <a:miter lim="800000"/>
          </a:ln>
          <a:effectLst>
            <a:glow rad="63500">
              <a:schemeClr val="accent6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Viz_StartStation!$B$3:$B$5</c:f>
              <c:strCache>
                <c:ptCount val="1"/>
                <c:pt idx="0">
                  <c:v>annual members - Clark St &amp; Elm St</c:v>
                </c:pt>
              </c:strCache>
            </c:strRef>
          </c:tx>
          <c:spPr>
            <a:noFill/>
            <a:ln w="9525" cap="flat" cmpd="sng" algn="ctr">
              <a:solidFill>
                <a:schemeClr val="accent6"/>
              </a:solidFill>
              <a:miter lim="800000"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Viz_StartStation!$A$6:$A$12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Viz_StartStation!$B$6:$B$12</c:f>
              <c:numCache>
                <c:formatCode>General</c:formatCode>
                <c:ptCount val="6"/>
                <c:pt idx="0">
                  <c:v>840</c:v>
                </c:pt>
                <c:pt idx="2">
                  <c:v>1323</c:v>
                </c:pt>
                <c:pt idx="3">
                  <c:v>1716</c:v>
                </c:pt>
                <c:pt idx="4">
                  <c:v>2275</c:v>
                </c:pt>
                <c:pt idx="5">
                  <c:v>3318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2-46DC-9F8C-3B233E6BA944}"/>
            </c:ext>
          </c:extLst>
        </c:ser>
        <c:ser>
          <c:idx val="1"/>
          <c:order val="1"/>
          <c:tx>
            <c:strRef>
              <c:f>Viz_StartStation!$C$3:$C$5</c:f>
              <c:strCache>
                <c:ptCount val="1"/>
                <c:pt idx="0">
                  <c:v>annual members - Dearborn St &amp; Erie St</c:v>
                </c:pt>
              </c:strCache>
            </c:strRef>
          </c:tx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Viz_StartStation!$A$6:$A$12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Viz_StartStation!$C$6:$C$12</c:f>
              <c:numCache>
                <c:formatCode>General</c:formatCode>
                <c:ptCount val="6"/>
                <c:pt idx="1">
                  <c:v>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D2-46DC-9F8C-3B233E6BA94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1653277455"/>
        <c:axId val="1653273295"/>
      </c:barChart>
      <c:catAx>
        <c:axId val="16532774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2021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3273295"/>
        <c:crosses val="autoZero"/>
        <c:auto val="1"/>
        <c:lblAlgn val="ctr"/>
        <c:lblOffset val="100"/>
        <c:noMultiLvlLbl val="0"/>
      </c:catAx>
      <c:valAx>
        <c:axId val="165327329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No</a:t>
                </a:r>
                <a:r>
                  <a:rPr lang="en-IN" baseline="0"/>
                  <a:t> .of Time Station used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3277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[DataViz_Report.xlsm]Viz_rideableType!PivotTable6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sz="1600" b="1" i="0" u="none" strike="noStrike" baseline="0">
                <a:solidFill>
                  <a:srgbClr val="00FFFF"/>
                </a:solidFill>
                <a:effectLst/>
              </a:rPr>
              <a:t>DISTRIBUTION OF RIDEABLE TYPE ACROSS USER TYPES</a:t>
            </a:r>
            <a:r>
              <a:rPr lang="en-IN" sz="1600" b="1" i="0" u="none" strike="noStrike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 </a:t>
            </a:r>
            <a:endParaRPr lang="en-IN" b="1">
              <a:solidFill>
                <a:srgbClr val="00B0F0"/>
              </a:solidFill>
            </a:endParaRPr>
          </a:p>
        </c:rich>
      </c:tx>
      <c:layout>
        <c:manualLayout>
          <c:xMode val="edge"/>
          <c:yMode val="edge"/>
          <c:x val="0.22978590486106593"/>
          <c:y val="1.51003551026709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Viz_rideableType!$B$1:$B$2</c:f>
              <c:strCache>
                <c:ptCount val="1"/>
                <c:pt idx="0">
                  <c:v>Jan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Viz_rideableType!$A$3:$A$11</c:f>
              <c:multiLvlStrCache>
                <c:ptCount val="6"/>
                <c:lvl>
                  <c:pt idx="0">
                    <c:v>classic_bike</c:v>
                  </c:pt>
                  <c:pt idx="1">
                    <c:v>docked_bike</c:v>
                  </c:pt>
                  <c:pt idx="2">
                    <c:v>electric_bike</c:v>
                  </c:pt>
                  <c:pt idx="3">
                    <c:v>classic_bike</c:v>
                  </c:pt>
                  <c:pt idx="4">
                    <c:v>docked_bike</c:v>
                  </c:pt>
                  <c:pt idx="5">
                    <c:v>electric_bike</c:v>
                  </c:pt>
                </c:lvl>
                <c:lvl>
                  <c:pt idx="0">
                    <c:v>annual members</c:v>
                  </c:pt>
                  <c:pt idx="3">
                    <c:v>casual riders</c:v>
                  </c:pt>
                </c:lvl>
              </c:multiLvlStrCache>
            </c:multiLvlStrRef>
          </c:cat>
          <c:val>
            <c:numRef>
              <c:f>Viz_rideableType!$B$3:$B$11</c:f>
              <c:numCache>
                <c:formatCode>General</c:formatCode>
                <c:ptCount val="6"/>
                <c:pt idx="0">
                  <c:v>53439</c:v>
                </c:pt>
                <c:pt idx="1">
                  <c:v>1</c:v>
                </c:pt>
                <c:pt idx="2">
                  <c:v>25273</c:v>
                </c:pt>
                <c:pt idx="3">
                  <c:v>8258</c:v>
                </c:pt>
                <c:pt idx="4">
                  <c:v>2105</c:v>
                </c:pt>
                <c:pt idx="5">
                  <c:v>7753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3C-48E9-86CF-F71625E06E28}"/>
            </c:ext>
          </c:extLst>
        </c:ser>
        <c:ser>
          <c:idx val="1"/>
          <c:order val="1"/>
          <c:tx>
            <c:strRef>
              <c:f>Viz_rideableType!$C$1:$C$2</c:f>
              <c:strCache>
                <c:ptCount val="1"/>
                <c:pt idx="0">
                  <c:v>Feb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Viz_rideableType!$A$3:$A$11</c:f>
              <c:multiLvlStrCache>
                <c:ptCount val="6"/>
                <c:lvl>
                  <c:pt idx="0">
                    <c:v>classic_bike</c:v>
                  </c:pt>
                  <c:pt idx="1">
                    <c:v>docked_bike</c:v>
                  </c:pt>
                  <c:pt idx="2">
                    <c:v>electric_bike</c:v>
                  </c:pt>
                  <c:pt idx="3">
                    <c:v>classic_bike</c:v>
                  </c:pt>
                  <c:pt idx="4">
                    <c:v>docked_bike</c:v>
                  </c:pt>
                  <c:pt idx="5">
                    <c:v>electric_bike</c:v>
                  </c:pt>
                </c:lvl>
                <c:lvl>
                  <c:pt idx="0">
                    <c:v>annual members</c:v>
                  </c:pt>
                  <c:pt idx="3">
                    <c:v>casual riders</c:v>
                  </c:pt>
                </c:lvl>
              </c:multiLvlStrCache>
            </c:multiLvlStrRef>
          </c:cat>
          <c:val>
            <c:numRef>
              <c:f>Viz_rideableType!$C$3:$C$11</c:f>
              <c:numCache>
                <c:formatCode>General</c:formatCode>
                <c:ptCount val="6"/>
                <c:pt idx="0">
                  <c:v>29317</c:v>
                </c:pt>
                <c:pt idx="2">
                  <c:v>10174</c:v>
                </c:pt>
                <c:pt idx="3">
                  <c:v>5695</c:v>
                </c:pt>
                <c:pt idx="4">
                  <c:v>1271</c:v>
                </c:pt>
                <c:pt idx="5">
                  <c:v>3165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3C-48E9-86CF-F71625E06E28}"/>
            </c:ext>
          </c:extLst>
        </c:ser>
        <c:ser>
          <c:idx val="2"/>
          <c:order val="2"/>
          <c:tx>
            <c:strRef>
              <c:f>Viz_rideableType!$D$1:$D$2</c:f>
              <c:strCache>
                <c:ptCount val="1"/>
                <c:pt idx="0">
                  <c:v>Mar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Viz_rideableType!$A$3:$A$11</c:f>
              <c:multiLvlStrCache>
                <c:ptCount val="6"/>
                <c:lvl>
                  <c:pt idx="0">
                    <c:v>classic_bike</c:v>
                  </c:pt>
                  <c:pt idx="1">
                    <c:v>docked_bike</c:v>
                  </c:pt>
                  <c:pt idx="2">
                    <c:v>electric_bike</c:v>
                  </c:pt>
                  <c:pt idx="3">
                    <c:v>classic_bike</c:v>
                  </c:pt>
                  <c:pt idx="4">
                    <c:v>docked_bike</c:v>
                  </c:pt>
                  <c:pt idx="5">
                    <c:v>electric_bike</c:v>
                  </c:pt>
                </c:lvl>
                <c:lvl>
                  <c:pt idx="0">
                    <c:v>annual members</c:v>
                  </c:pt>
                  <c:pt idx="3">
                    <c:v>casual riders</c:v>
                  </c:pt>
                </c:lvl>
              </c:multiLvlStrCache>
            </c:multiLvlStrRef>
          </c:cat>
          <c:val>
            <c:numRef>
              <c:f>Viz_rideableType!$D$3:$D$11</c:f>
              <c:numCache>
                <c:formatCode>General</c:formatCode>
                <c:ptCount val="6"/>
                <c:pt idx="0">
                  <c:v>107017</c:v>
                </c:pt>
                <c:pt idx="2">
                  <c:v>37446</c:v>
                </c:pt>
                <c:pt idx="3">
                  <c:v>45528</c:v>
                </c:pt>
                <c:pt idx="4">
                  <c:v>15657</c:v>
                </c:pt>
                <c:pt idx="5">
                  <c:v>22848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3C-48E9-86CF-F71625E06E28}"/>
            </c:ext>
          </c:extLst>
        </c:ser>
        <c:ser>
          <c:idx val="3"/>
          <c:order val="3"/>
          <c:tx>
            <c:strRef>
              <c:f>Viz_rideableType!$E$1:$E$2</c:f>
              <c:strCache>
                <c:ptCount val="1"/>
                <c:pt idx="0">
                  <c:v>Apr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Viz_rideableType!$A$3:$A$11</c:f>
              <c:multiLvlStrCache>
                <c:ptCount val="6"/>
                <c:lvl>
                  <c:pt idx="0">
                    <c:v>classic_bike</c:v>
                  </c:pt>
                  <c:pt idx="1">
                    <c:v>docked_bike</c:v>
                  </c:pt>
                  <c:pt idx="2">
                    <c:v>electric_bike</c:v>
                  </c:pt>
                  <c:pt idx="3">
                    <c:v>classic_bike</c:v>
                  </c:pt>
                  <c:pt idx="4">
                    <c:v>docked_bike</c:v>
                  </c:pt>
                  <c:pt idx="5">
                    <c:v>electric_bike</c:v>
                  </c:pt>
                </c:lvl>
                <c:lvl>
                  <c:pt idx="0">
                    <c:v>annual members</c:v>
                  </c:pt>
                  <c:pt idx="3">
                    <c:v>casual riders</c:v>
                  </c:pt>
                </c:lvl>
              </c:multiLvlStrCache>
            </c:multiLvlStrRef>
          </c:cat>
          <c:val>
            <c:numRef>
              <c:f>Viz_rideableType!$E$3:$E$11</c:f>
              <c:numCache>
                <c:formatCode>General</c:formatCode>
                <c:ptCount val="6"/>
                <c:pt idx="0">
                  <c:v>143843</c:v>
                </c:pt>
                <c:pt idx="2">
                  <c:v>56785</c:v>
                </c:pt>
                <c:pt idx="3">
                  <c:v>70776</c:v>
                </c:pt>
                <c:pt idx="4">
                  <c:v>24714</c:v>
                </c:pt>
                <c:pt idx="5">
                  <c:v>41111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3C-48E9-86CF-F71625E06E28}"/>
            </c:ext>
          </c:extLst>
        </c:ser>
        <c:ser>
          <c:idx val="4"/>
          <c:order val="4"/>
          <c:tx>
            <c:strRef>
              <c:f>Viz_rideableType!$F$1:$F$2</c:f>
              <c:strCache>
                <c:ptCount val="1"/>
                <c:pt idx="0">
                  <c:v>May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Viz_rideableType!$A$3:$A$11</c:f>
              <c:multiLvlStrCache>
                <c:ptCount val="6"/>
                <c:lvl>
                  <c:pt idx="0">
                    <c:v>classic_bike</c:v>
                  </c:pt>
                  <c:pt idx="1">
                    <c:v>docked_bike</c:v>
                  </c:pt>
                  <c:pt idx="2">
                    <c:v>electric_bike</c:v>
                  </c:pt>
                  <c:pt idx="3">
                    <c:v>classic_bike</c:v>
                  </c:pt>
                  <c:pt idx="4">
                    <c:v>docked_bike</c:v>
                  </c:pt>
                  <c:pt idx="5">
                    <c:v>electric_bike</c:v>
                  </c:pt>
                </c:lvl>
                <c:lvl>
                  <c:pt idx="0">
                    <c:v>annual members</c:v>
                  </c:pt>
                  <c:pt idx="3">
                    <c:v>casual riders</c:v>
                  </c:pt>
                </c:lvl>
              </c:multiLvlStrCache>
            </c:multiLvlStrRef>
          </c:cat>
          <c:val>
            <c:numRef>
              <c:f>Viz_rideableType!$F$3:$F$11</c:f>
              <c:numCache>
                <c:formatCode>General</c:formatCode>
                <c:ptCount val="6"/>
                <c:pt idx="0">
                  <c:v>185142</c:v>
                </c:pt>
                <c:pt idx="2">
                  <c:v>89573</c:v>
                </c:pt>
                <c:pt idx="3">
                  <c:v>123950</c:v>
                </c:pt>
                <c:pt idx="4">
                  <c:v>43353</c:v>
                </c:pt>
                <c:pt idx="5">
                  <c:v>89613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3C-48E9-86CF-F71625E06E28}"/>
            </c:ext>
          </c:extLst>
        </c:ser>
        <c:ser>
          <c:idx val="5"/>
          <c:order val="5"/>
          <c:tx>
            <c:strRef>
              <c:f>Viz_rideableType!$G$1:$G$2</c:f>
              <c:strCache>
                <c:ptCount val="1"/>
                <c:pt idx="0">
                  <c:v>Jun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Viz_rideableType!$A$3:$A$11</c:f>
              <c:multiLvlStrCache>
                <c:ptCount val="6"/>
                <c:lvl>
                  <c:pt idx="0">
                    <c:v>classic_bike</c:v>
                  </c:pt>
                  <c:pt idx="1">
                    <c:v>docked_bike</c:v>
                  </c:pt>
                  <c:pt idx="2">
                    <c:v>electric_bike</c:v>
                  </c:pt>
                  <c:pt idx="3">
                    <c:v>classic_bike</c:v>
                  </c:pt>
                  <c:pt idx="4">
                    <c:v>docked_bike</c:v>
                  </c:pt>
                  <c:pt idx="5">
                    <c:v>electric_bike</c:v>
                  </c:pt>
                </c:lvl>
                <c:lvl>
                  <c:pt idx="0">
                    <c:v>annual members</c:v>
                  </c:pt>
                  <c:pt idx="3">
                    <c:v>casual riders</c:v>
                  </c:pt>
                </c:lvl>
              </c:multiLvlStrCache>
            </c:multiLvlStrRef>
          </c:cat>
          <c:val>
            <c:numRef>
              <c:f>Viz_rideableType!$G$3:$G$11</c:f>
              <c:numCache>
                <c:formatCode>General</c:formatCode>
                <c:ptCount val="6"/>
                <c:pt idx="0">
                  <c:v>246774</c:v>
                </c:pt>
                <c:pt idx="2">
                  <c:v>112138</c:v>
                </c:pt>
                <c:pt idx="3">
                  <c:v>188242</c:v>
                </c:pt>
                <c:pt idx="4">
                  <c:v>51716</c:v>
                </c:pt>
                <c:pt idx="5">
                  <c:v>130720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3C-48E9-86CF-F71625E06E2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40"/>
        <c:overlap val="-11"/>
        <c:axId val="1656715519"/>
        <c:axId val="1656715103"/>
      </c:barChart>
      <c:catAx>
        <c:axId val="1656715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715103"/>
        <c:crosses val="autoZero"/>
        <c:auto val="1"/>
        <c:lblAlgn val="ctr"/>
        <c:lblOffset val="100"/>
        <c:noMultiLvlLbl val="0"/>
      </c:catAx>
      <c:valAx>
        <c:axId val="1656715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Sum of Rideable Types</a:t>
                </a:r>
              </a:p>
            </c:rich>
          </c:tx>
          <c:layout>
            <c:manualLayout>
              <c:xMode val="edge"/>
              <c:yMode val="edge"/>
              <c:x val="1.310268095811621E-2"/>
              <c:y val="0.329297857375671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7155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461010</xdr:colOff>
      <xdr:row>1</xdr:row>
      <xdr:rowOff>175260</xdr:rowOff>
    </xdr:from>
    <xdr:to>
      <xdr:col>12</xdr:col>
      <xdr:colOff>106680</xdr:colOff>
      <xdr:row>16</xdr:row>
      <xdr:rowOff>175260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C8E3A75-BBC5-4DB3-ACB9-FA620D4C21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175260</xdr:rowOff>
    </xdr:from>
    <xdr:to>
      <xdr:col>17</xdr:col>
      <xdr:colOff>22860</xdr:colOff>
      <xdr:row>26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BF15B0-FA1B-45CE-9DCB-70DE605171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327660</xdr:colOff>
      <xdr:row>1</xdr:row>
      <xdr:rowOff>22860</xdr:rowOff>
    </xdr:from>
    <xdr:to>
      <xdr:col>20</xdr:col>
      <xdr:colOff>106680</xdr:colOff>
      <xdr:row>26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4BC0B-F5EC-4F6A-A6EC-CADDE79669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</xdr:colOff>
      <xdr:row>12</xdr:row>
      <xdr:rowOff>152400</xdr:rowOff>
    </xdr:from>
    <xdr:to>
      <xdr:col>3</xdr:col>
      <xdr:colOff>480060</xdr:colOff>
      <xdr:row>37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CACEC1-84FE-4FDF-938E-4AF563C161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480060</xdr:colOff>
      <xdr:row>0</xdr:row>
      <xdr:rowOff>0</xdr:rowOff>
    </xdr:from>
    <xdr:to>
      <xdr:col>23</xdr:col>
      <xdr:colOff>0</xdr:colOff>
      <xdr:row>27</xdr:row>
      <xdr:rowOff>160020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11E984A-9959-47F4-B461-20F09D4A2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rideableType_distribution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iary" refreshedDate="44624.456115740744" createdVersion="7" refreshedVersion="7" minRefreshableVersion="3" recordCount="12">
  <cacheSource type="worksheet">
    <worksheetSource ref="A1:I13" sheet="UserData"/>
  </cacheSource>
  <cacheFields count="9">
    <cacheField name="Months" numFmtId="0">
      <sharedItems containsSemiMixedTypes="0" containsString="0" containsNumber="1" containsInteger="1" minValue="1" maxValue="6" count="6">
        <n v="1"/>
        <n v="2"/>
        <n v="3"/>
        <n v="4"/>
        <n v="5"/>
        <n v="6"/>
      </sharedItems>
    </cacheField>
    <cacheField name="Months in Words" numFmtId="0">
      <sharedItems count="6">
        <s v="Jan"/>
        <s v="Feb"/>
        <s v="Mar"/>
        <s v="Apr"/>
        <s v="May"/>
        <s v="Jun"/>
      </sharedItems>
    </cacheField>
    <cacheField name="annual members_casual riders" numFmtId="49">
      <sharedItems count="2">
        <s v="annual members"/>
        <s v="casual riders"/>
      </sharedItems>
    </cacheField>
    <cacheField name="Avg_ride_length" numFmtId="47">
      <sharedItems containsSemiMixedTypes="0" containsNonDate="0" containsDate="1" containsString="0" minDate="1899-12-30T00:12:41" maxDate="1899-12-30T00:32:09" count="12">
        <d v="1899-12-30T00:12:41"/>
        <d v="1899-12-30T00:21:52"/>
        <d v="1899-12-30T00:15:52"/>
        <d v="1899-12-30T00:31:53"/>
        <d v="1899-12-30T00:32:08"/>
        <d v="1899-12-30T00:13:52"/>
        <d v="1899-12-30T00:31:40"/>
        <d v="1899-12-30T00:14:31"/>
        <d v="1899-12-30T00:32:09"/>
        <d v="1899-12-30T00:14:28"/>
        <d v="1899-12-30T00:29:50"/>
        <d v="1899-12-30T00:14:25"/>
      </sharedItems>
    </cacheField>
    <cacheField name="total_members" numFmtId="0">
      <sharedItems containsSemiMixedTypes="0" containsString="0" containsNumber="1" containsInteger="1" minValue="10131" maxValue="370678" count="12">
        <n v="78713"/>
        <n v="18116"/>
        <n v="39491"/>
        <n v="10131"/>
        <n v="84033"/>
        <n v="144463"/>
        <n v="136601"/>
        <n v="200628"/>
        <n v="256916"/>
        <n v="274715"/>
        <n v="370678"/>
        <n v="358912"/>
      </sharedItems>
    </cacheField>
    <cacheField name="count_of_start_station" numFmtId="0">
      <sharedItems containsSemiMixedTypes="0" containsString="0" containsNumber="1" containsInteger="1" minValue="122" maxValue="11523" count="12">
        <n v="840"/>
        <n v="196"/>
        <n v="440"/>
        <n v="122"/>
        <n v="1887"/>
        <n v="1323"/>
        <n v="2874"/>
        <n v="1716"/>
        <n v="8419"/>
        <n v="2275"/>
        <n v="11523"/>
        <n v="3318"/>
      </sharedItems>
    </cacheField>
    <cacheField name="start_station_name" numFmtId="0">
      <sharedItems count="5">
        <s v="Clark St &amp; Elm St"/>
        <s v="Lake Shore Dr &amp; Monroe St"/>
        <s v="Dearborn St &amp; Erie St"/>
        <s v="Millennium Park"/>
        <s v="Streeter Dr &amp; Grand Ave"/>
      </sharedItems>
    </cacheField>
    <cacheField name="count_of_end_station" numFmtId="0">
      <sharedItems containsSemiMixedTypes="0" containsString="0" containsNumber="1" containsInteger="1" minValue="123" maxValue="11740"/>
    </cacheField>
    <cacheField name="end_station_nam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riary" refreshedDate="44624.520638657406" createdVersion="7" refreshedVersion="7" minRefreshableVersion="3" recordCount="31">
  <cacheSource type="worksheet">
    <worksheetSource ref="A1:F32" sheet="rideableType_distribution" r:id="rId2"/>
  </cacheSource>
  <cacheFields count="6">
    <cacheField name="Months" numFmtId="0">
      <sharedItems containsSemiMixedTypes="0" containsString="0" containsNumber="1" containsInteger="1" minValue="1" maxValue="6"/>
    </cacheField>
    <cacheField name="Months in Word" numFmtId="0">
      <sharedItems count="6">
        <s v="Jan"/>
        <s v="Feb"/>
        <s v="Mar"/>
        <s v="Apr"/>
        <s v="May"/>
        <s v="Jun"/>
      </sharedItems>
    </cacheField>
    <cacheField name="annual members_casual riders" numFmtId="0">
      <sharedItems count="2">
        <s v="casual riders"/>
        <s v="annual members"/>
      </sharedItems>
    </cacheField>
    <cacheField name="rideable_type" numFmtId="0">
      <sharedItems count="3">
        <s v="classic_bike"/>
        <s v="docked_bike"/>
        <s v="electric_bike"/>
      </sharedItems>
    </cacheField>
    <cacheField name="count_of_rideable_type_used" numFmtId="0">
      <sharedItems containsSemiMixedTypes="0" containsString="0" containsNumber="1" containsInteger="1" minValue="1" maxValue="246774"/>
    </cacheField>
    <cacheField name="Avg_ride_length_time" numFmtId="47">
      <sharedItems containsSemiMixedTypes="0" containsNonDate="0" containsDate="1" containsString="0" minDate="1899-12-30T00:02:38" maxDate="1899-12-30T01:04: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x v="0"/>
    <x v="0"/>
    <x v="0"/>
    <x v="0"/>
    <x v="0"/>
    <x v="0"/>
    <x v="0"/>
    <n v="897"/>
    <s v="Dearborn St &amp; Erie St"/>
  </r>
  <r>
    <x v="0"/>
    <x v="0"/>
    <x v="1"/>
    <x v="1"/>
    <x v="1"/>
    <x v="1"/>
    <x v="1"/>
    <n v="179"/>
    <s v="Millennium Park"/>
  </r>
  <r>
    <x v="1"/>
    <x v="1"/>
    <x v="0"/>
    <x v="2"/>
    <x v="2"/>
    <x v="2"/>
    <x v="2"/>
    <n v="469"/>
    <s v="Dearborn St &amp; Erie St"/>
  </r>
  <r>
    <x v="1"/>
    <x v="1"/>
    <x v="1"/>
    <x v="3"/>
    <x v="3"/>
    <x v="3"/>
    <x v="3"/>
    <n v="123"/>
    <s v="Millennium Park"/>
  </r>
  <r>
    <x v="2"/>
    <x v="2"/>
    <x v="1"/>
    <x v="4"/>
    <x v="4"/>
    <x v="4"/>
    <x v="1"/>
    <n v="1785"/>
    <s v="Lake Shore Dr &amp; Monroe St"/>
  </r>
  <r>
    <x v="2"/>
    <x v="2"/>
    <x v="0"/>
    <x v="5"/>
    <x v="5"/>
    <x v="5"/>
    <x v="0"/>
    <n v="1400"/>
    <s v="Clark St &amp; Elm St"/>
  </r>
  <r>
    <x v="3"/>
    <x v="3"/>
    <x v="1"/>
    <x v="6"/>
    <x v="6"/>
    <x v="6"/>
    <x v="1"/>
    <n v="2663"/>
    <s v="Lake Shore Dr &amp; Monroe St"/>
  </r>
  <r>
    <x v="3"/>
    <x v="3"/>
    <x v="0"/>
    <x v="7"/>
    <x v="7"/>
    <x v="7"/>
    <x v="0"/>
    <n v="1770"/>
    <s v="Clark St &amp; Elm St"/>
  </r>
  <r>
    <x v="4"/>
    <x v="4"/>
    <x v="1"/>
    <x v="8"/>
    <x v="8"/>
    <x v="8"/>
    <x v="4"/>
    <n v="9108"/>
    <s v="Streeter Dr &amp; Grand Ave"/>
  </r>
  <r>
    <x v="4"/>
    <x v="4"/>
    <x v="0"/>
    <x v="9"/>
    <x v="9"/>
    <x v="9"/>
    <x v="0"/>
    <n v="2315"/>
    <s v="Clark St &amp; Elm St"/>
  </r>
  <r>
    <x v="5"/>
    <x v="5"/>
    <x v="1"/>
    <x v="10"/>
    <x v="10"/>
    <x v="10"/>
    <x v="4"/>
    <n v="11740"/>
    <s v="Streeter Dr &amp; Grand Ave"/>
  </r>
  <r>
    <x v="5"/>
    <x v="5"/>
    <x v="0"/>
    <x v="11"/>
    <x v="11"/>
    <x v="11"/>
    <x v="0"/>
    <n v="3643"/>
    <s v="Lake Shore Dr &amp; North Blvd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">
  <r>
    <n v="1"/>
    <x v="0"/>
    <x v="0"/>
    <x v="0"/>
    <n v="8258"/>
    <d v="1899-12-30T00:22:24"/>
  </r>
  <r>
    <n v="1"/>
    <x v="0"/>
    <x v="1"/>
    <x v="0"/>
    <n v="53439"/>
    <d v="1899-12-30T00:13:06"/>
  </r>
  <r>
    <n v="1"/>
    <x v="0"/>
    <x v="0"/>
    <x v="1"/>
    <n v="2105"/>
    <d v="1899-12-30T00:46:33"/>
  </r>
  <r>
    <n v="1"/>
    <x v="0"/>
    <x v="1"/>
    <x v="1"/>
    <n v="1"/>
    <d v="1899-12-30T00:02:38"/>
  </r>
  <r>
    <n v="1"/>
    <x v="0"/>
    <x v="0"/>
    <x v="2"/>
    <n v="7753"/>
    <d v="1899-12-30T00:14:36"/>
  </r>
  <r>
    <n v="1"/>
    <x v="0"/>
    <x v="1"/>
    <x v="2"/>
    <n v="25273"/>
    <d v="1899-12-30T00:11:46"/>
  </r>
  <r>
    <n v="2"/>
    <x v="1"/>
    <x v="0"/>
    <x v="0"/>
    <n v="5695"/>
    <d v="1899-12-30T00:32:28"/>
  </r>
  <r>
    <n v="2"/>
    <x v="1"/>
    <x v="1"/>
    <x v="0"/>
    <n v="29317"/>
    <d v="1899-12-30T00:16:36"/>
  </r>
  <r>
    <n v="2"/>
    <x v="1"/>
    <x v="0"/>
    <x v="1"/>
    <n v="1271"/>
    <d v="1899-12-30T01:04:55"/>
  </r>
  <r>
    <n v="2"/>
    <x v="1"/>
    <x v="0"/>
    <x v="2"/>
    <n v="3165"/>
    <d v="1899-12-30T00:17:36"/>
  </r>
  <r>
    <n v="2"/>
    <x v="1"/>
    <x v="1"/>
    <x v="2"/>
    <n v="10174"/>
    <d v="1899-12-30T00:13:46"/>
  </r>
  <r>
    <n v="3"/>
    <x v="2"/>
    <x v="0"/>
    <x v="0"/>
    <n v="45528"/>
    <d v="1899-12-30T00:29:31"/>
  </r>
  <r>
    <n v="3"/>
    <x v="2"/>
    <x v="1"/>
    <x v="0"/>
    <n v="107017"/>
    <d v="1899-12-30T00:14:04"/>
  </r>
  <r>
    <n v="3"/>
    <x v="2"/>
    <x v="0"/>
    <x v="1"/>
    <n v="15657"/>
    <d v="1899-12-30T00:55:10"/>
  </r>
  <r>
    <n v="3"/>
    <x v="2"/>
    <x v="0"/>
    <x v="2"/>
    <n v="22848"/>
    <d v="1899-12-30T00:21:33"/>
  </r>
  <r>
    <n v="3"/>
    <x v="2"/>
    <x v="1"/>
    <x v="2"/>
    <n v="37446"/>
    <d v="1899-12-30T00:13:18"/>
  </r>
  <r>
    <n v="4"/>
    <x v="3"/>
    <x v="0"/>
    <x v="0"/>
    <n v="70776"/>
    <d v="1899-12-30T00:29:10"/>
  </r>
  <r>
    <n v="4"/>
    <x v="3"/>
    <x v="1"/>
    <x v="0"/>
    <n v="143843"/>
    <d v="1899-12-30T00:14:39"/>
  </r>
  <r>
    <n v="4"/>
    <x v="3"/>
    <x v="0"/>
    <x v="1"/>
    <n v="24714"/>
    <d v="1899-12-30T00:55:45"/>
  </r>
  <r>
    <n v="4"/>
    <x v="3"/>
    <x v="0"/>
    <x v="2"/>
    <n v="41111"/>
    <d v="1899-12-30T00:21:30"/>
  </r>
  <r>
    <n v="4"/>
    <x v="3"/>
    <x v="1"/>
    <x v="2"/>
    <n v="56785"/>
    <d v="1899-12-30T00:14:12"/>
  </r>
  <r>
    <n v="5"/>
    <x v="4"/>
    <x v="0"/>
    <x v="0"/>
    <n v="123950"/>
    <d v="1899-12-30T00:30:24"/>
  </r>
  <r>
    <n v="5"/>
    <x v="4"/>
    <x v="1"/>
    <x v="0"/>
    <n v="185142"/>
    <d v="1899-12-30T00:14:49"/>
  </r>
  <r>
    <n v="5"/>
    <x v="4"/>
    <x v="0"/>
    <x v="1"/>
    <n v="43353"/>
    <d v="1899-12-30T00:57:19"/>
  </r>
  <r>
    <n v="5"/>
    <x v="4"/>
    <x v="0"/>
    <x v="2"/>
    <n v="89613"/>
    <d v="1899-12-30T00:22:25"/>
  </r>
  <r>
    <n v="5"/>
    <x v="4"/>
    <x v="1"/>
    <x v="2"/>
    <n v="89573"/>
    <d v="1899-12-30T00:13:43"/>
  </r>
  <r>
    <n v="6"/>
    <x v="5"/>
    <x v="0"/>
    <x v="0"/>
    <n v="188242"/>
    <d v="1899-12-30T00:28:08"/>
  </r>
  <r>
    <n v="6"/>
    <x v="5"/>
    <x v="1"/>
    <x v="0"/>
    <n v="246774"/>
    <d v="1899-12-30T00:14:41"/>
  </r>
  <r>
    <n v="6"/>
    <x v="5"/>
    <x v="0"/>
    <x v="1"/>
    <n v="51716"/>
    <d v="1899-12-30T00:56:43"/>
  </r>
  <r>
    <n v="6"/>
    <x v="5"/>
    <x v="0"/>
    <x v="2"/>
    <n v="130720"/>
    <d v="1899-12-30T00:21:38"/>
  </r>
  <r>
    <n v="6"/>
    <x v="5"/>
    <x v="1"/>
    <x v="2"/>
    <n v="112138"/>
    <d v="1899-12-30T00:13: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4" cacheId="16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3:B10" firstHeaderRow="1" firstDataRow="1" firstDataCol="1"/>
  <pivotFields count="9"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numFmtId="47" showAll="0"/>
    <pivotField dataField="1" showAll="0"/>
    <pivotField showAll="0"/>
    <pivotField showAll="0"/>
    <pivotField showAll="0"/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total_members" fld="4" baseField="0" baseItem="0"/>
  </dataFields>
  <chartFormats count="2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5" format="13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19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0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2" cacheId="16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3:H7" firstHeaderRow="1" firstDataRow="2" firstDataCol="1"/>
  <pivotFields count="9">
    <pivotField showAll="0"/>
    <pivotField axis="axisCol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3">
        <item x="0"/>
        <item x="1"/>
        <item t="default"/>
      </items>
    </pivotField>
    <pivotField numFmtId="47" showAll="0"/>
    <pivotField dataField="1"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 of total_members" fld="4" baseField="0" baseItem="0"/>
  </dataFields>
  <chartFormats count="7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3" cacheId="16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3:H7" firstHeaderRow="1" firstDataRow="2" firstDataCol="1"/>
  <pivotFields count="9">
    <pivotField showAll="0">
      <items count="7">
        <item x="0"/>
        <item x="1"/>
        <item x="2"/>
        <item x="3"/>
        <item x="4"/>
        <item x="5"/>
        <item t="default"/>
      </items>
    </pivotField>
    <pivotField axis="axisCol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3">
        <item x="0"/>
        <item x="1"/>
        <item t="default"/>
      </items>
    </pivotField>
    <pivotField dataField="1" numFmtId="47"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 of Avg_ride_length" fld="3" baseField="2" baseItem="0" numFmtId="165"/>
  </dataFields>
  <chartFormats count="11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0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0" format="10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15" cacheId="16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4">
  <location ref="A3:E12" firstHeaderRow="1" firstDataRow="3" firstDataCol="1"/>
  <pivotFields count="9"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Col" showAll="0">
      <items count="3">
        <item x="0"/>
        <item h="1" x="1"/>
        <item t="default"/>
      </items>
    </pivotField>
    <pivotField numFmtId="47" showAll="0"/>
    <pivotField showAll="0"/>
    <pivotField dataField="1" showAll="0"/>
    <pivotField axis="axisCol" showAll="0">
      <items count="6">
        <item x="0"/>
        <item x="2"/>
        <item x="1"/>
        <item x="3"/>
        <item x="4"/>
        <item t="default"/>
      </items>
    </pivotField>
    <pivotField showAll="0"/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2">
    <field x="2"/>
    <field x="6"/>
  </colFields>
  <colItems count="4">
    <i>
      <x/>
      <x/>
    </i>
    <i r="1">
      <x v="1"/>
    </i>
    <i t="default">
      <x/>
    </i>
    <i t="grand">
      <x/>
    </i>
  </colItems>
  <dataFields count="1">
    <dataField name="Sum of count_of_start_station" fld="5" baseField="0" baseItem="0"/>
  </dataFields>
  <chartFormats count="5">
    <chartFormat chart="0" format="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2"/>
          </reference>
        </references>
      </pivotArea>
    </chartFormat>
    <chartFormat chart="0" format="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3"/>
          </reference>
        </references>
      </pivotArea>
    </chartFormat>
    <chartFormat chart="0" format="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4"/>
          </reference>
        </references>
      </pivotArea>
    </chartFormat>
    <chartFormat chart="0" format="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6" count="1" selected="0">
            <x v="0"/>
          </reference>
        </references>
      </pivotArea>
    </chartFormat>
    <chartFormat chart="0" format="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6" cacheId="15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1:H11" firstHeaderRow="1" firstDataRow="2" firstDataCol="1"/>
  <pivotFields count="6">
    <pivotField showAll="0"/>
    <pivotField axis="axisCol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3">
        <item x="1"/>
        <item x="0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  <pivotField numFmtId="47" showAll="0"/>
  </pivotFields>
  <rowFields count="2">
    <field x="2"/>
    <field x="3"/>
  </rowFields>
  <rowItems count="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 t="grand">
      <x/>
    </i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 of count_of_rideable_type_used" fld="4" baseField="2" baseItem="0"/>
  </dataFields>
  <chartFormats count="19">
    <chartFormat chart="0" format="13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14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15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16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17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18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25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5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5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5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5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5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5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J13"/>
  <sheetViews>
    <sheetView workbookViewId="0">
      <pane ySplit="1" topLeftCell="A2" activePane="bottomLeft" state="frozen"/>
      <selection pane="bottomLeft" sqref="A1:I13"/>
    </sheetView>
  </sheetViews>
  <sheetFormatPr defaultRowHeight="14.4" x14ac:dyDescent="0.3"/>
  <sheetData>
    <row r="1" spans="1:10" x14ac:dyDescent="0.3">
      <c r="A1" s="6" t="s">
        <v>0</v>
      </c>
      <c r="B1" s="6" t="s">
        <v>13</v>
      </c>
      <c r="C1" s="7" t="s">
        <v>25</v>
      </c>
      <c r="D1" s="6" t="s">
        <v>1</v>
      </c>
      <c r="E1" s="6" t="s">
        <v>2</v>
      </c>
      <c r="F1" s="6" t="s">
        <v>3</v>
      </c>
      <c r="G1" s="6" t="s">
        <v>4</v>
      </c>
      <c r="H1" s="6" t="s">
        <v>5</v>
      </c>
      <c r="I1" s="6" t="s">
        <v>6</v>
      </c>
      <c r="J1" s="6"/>
    </row>
    <row r="2" spans="1:10" hidden="1" x14ac:dyDescent="0.3">
      <c r="A2">
        <v>1</v>
      </c>
      <c r="B2" t="str">
        <f>TEXT(A2*29,"mmm")</f>
        <v>Jan</v>
      </c>
      <c r="C2" s="5" t="s">
        <v>26</v>
      </c>
      <c r="D2" s="1">
        <v>8.8040740740740735E-3</v>
      </c>
      <c r="E2">
        <v>78713</v>
      </c>
      <c r="F2">
        <v>840</v>
      </c>
      <c r="G2" t="s">
        <v>7</v>
      </c>
      <c r="H2">
        <v>897</v>
      </c>
      <c r="I2" t="s">
        <v>8</v>
      </c>
    </row>
    <row r="3" spans="1:10" x14ac:dyDescent="0.3">
      <c r="A3">
        <v>1</v>
      </c>
      <c r="B3" t="str">
        <f t="shared" ref="B3:C13" si="0">TEXT(A3*29,"mmm")</f>
        <v>Jan</v>
      </c>
      <c r="C3" s="5" t="s">
        <v>24</v>
      </c>
      <c r="D3" s="1">
        <v>1.5187465277777777E-2</v>
      </c>
      <c r="E3">
        <v>18116</v>
      </c>
      <c r="F3">
        <v>196</v>
      </c>
      <c r="G3" t="s">
        <v>9</v>
      </c>
      <c r="H3">
        <v>179</v>
      </c>
      <c r="I3" t="s">
        <v>10</v>
      </c>
    </row>
    <row r="4" spans="1:10" hidden="1" x14ac:dyDescent="0.3">
      <c r="A4">
        <v>2</v>
      </c>
      <c r="B4" t="str">
        <f t="shared" si="0"/>
        <v>Feb</v>
      </c>
      <c r="C4" s="5" t="s">
        <v>26</v>
      </c>
      <c r="D4" s="1">
        <v>1.1021331018518517E-2</v>
      </c>
      <c r="E4">
        <v>39491</v>
      </c>
      <c r="F4">
        <v>440</v>
      </c>
      <c r="G4" t="s">
        <v>8</v>
      </c>
      <c r="H4">
        <v>469</v>
      </c>
      <c r="I4" t="s">
        <v>8</v>
      </c>
    </row>
    <row r="5" spans="1:10" x14ac:dyDescent="0.3">
      <c r="A5">
        <v>2</v>
      </c>
      <c r="B5" t="str">
        <f t="shared" si="0"/>
        <v>Feb</v>
      </c>
      <c r="C5" s="5" t="s">
        <v>24</v>
      </c>
      <c r="D5" s="1">
        <v>2.2146006944444446E-2</v>
      </c>
      <c r="E5">
        <v>10131</v>
      </c>
      <c r="F5">
        <v>122</v>
      </c>
      <c r="G5" t="s">
        <v>10</v>
      </c>
      <c r="H5">
        <v>123</v>
      </c>
      <c r="I5" t="s">
        <v>10</v>
      </c>
    </row>
    <row r="6" spans="1:10" x14ac:dyDescent="0.3">
      <c r="A6">
        <v>3</v>
      </c>
      <c r="B6" t="str">
        <f t="shared" si="0"/>
        <v>Mar</v>
      </c>
      <c r="C6" s="5" t="s">
        <v>24</v>
      </c>
      <c r="D6" s="1">
        <v>2.2311597222222226E-2</v>
      </c>
      <c r="E6">
        <v>84033</v>
      </c>
      <c r="F6">
        <v>1887</v>
      </c>
      <c r="G6" t="s">
        <v>9</v>
      </c>
      <c r="H6">
        <v>1785</v>
      </c>
      <c r="I6" t="s">
        <v>9</v>
      </c>
    </row>
    <row r="7" spans="1:10" hidden="1" x14ac:dyDescent="0.3">
      <c r="A7">
        <v>3</v>
      </c>
      <c r="B7" t="str">
        <f t="shared" si="0"/>
        <v>Mar</v>
      </c>
      <c r="C7" s="5" t="s">
        <v>26</v>
      </c>
      <c r="D7" s="1">
        <v>9.6316087962962961E-3</v>
      </c>
      <c r="E7">
        <v>144463</v>
      </c>
      <c r="F7">
        <v>1323</v>
      </c>
      <c r="G7" t="s">
        <v>7</v>
      </c>
      <c r="H7">
        <v>1400</v>
      </c>
      <c r="I7" t="s">
        <v>7</v>
      </c>
    </row>
    <row r="8" spans="1:10" x14ac:dyDescent="0.3">
      <c r="A8">
        <v>4</v>
      </c>
      <c r="B8" t="str">
        <f t="shared" si="0"/>
        <v>Apr</v>
      </c>
      <c r="C8" s="5" t="s">
        <v>24</v>
      </c>
      <c r="D8" s="1">
        <v>2.1990266203703705E-2</v>
      </c>
      <c r="E8">
        <v>136601</v>
      </c>
      <c r="F8">
        <v>2874</v>
      </c>
      <c r="G8" t="s">
        <v>9</v>
      </c>
      <c r="H8">
        <v>2663</v>
      </c>
      <c r="I8" t="s">
        <v>9</v>
      </c>
    </row>
    <row r="9" spans="1:10" hidden="1" x14ac:dyDescent="0.3">
      <c r="A9">
        <v>4</v>
      </c>
      <c r="B9" t="str">
        <f t="shared" si="0"/>
        <v>Apr</v>
      </c>
      <c r="C9" s="5" t="s">
        <v>26</v>
      </c>
      <c r="D9" s="1">
        <v>1.0081724537037038E-2</v>
      </c>
      <c r="E9">
        <v>200628</v>
      </c>
      <c r="F9">
        <v>1716</v>
      </c>
      <c r="G9" t="s">
        <v>7</v>
      </c>
      <c r="H9">
        <v>1770</v>
      </c>
      <c r="I9" t="s">
        <v>7</v>
      </c>
    </row>
    <row r="10" spans="1:10" x14ac:dyDescent="0.3">
      <c r="A10">
        <v>5</v>
      </c>
      <c r="B10" t="str">
        <f t="shared" si="0"/>
        <v>May</v>
      </c>
      <c r="C10" s="5" t="s">
        <v>24</v>
      </c>
      <c r="D10" s="1">
        <v>2.2330000000000003E-2</v>
      </c>
      <c r="E10">
        <v>256916</v>
      </c>
      <c r="F10">
        <v>8419</v>
      </c>
      <c r="G10" t="s">
        <v>11</v>
      </c>
      <c r="H10">
        <v>9108</v>
      </c>
      <c r="I10" t="s">
        <v>11</v>
      </c>
    </row>
    <row r="11" spans="1:10" hidden="1" x14ac:dyDescent="0.3">
      <c r="A11">
        <v>5</v>
      </c>
      <c r="B11" t="str">
        <f t="shared" si="0"/>
        <v>May</v>
      </c>
      <c r="C11" s="5" t="s">
        <v>26</v>
      </c>
      <c r="D11" s="1">
        <v>1.0042222222222223E-2</v>
      </c>
      <c r="E11">
        <v>274715</v>
      </c>
      <c r="F11">
        <v>2275</v>
      </c>
      <c r="G11" t="s">
        <v>7</v>
      </c>
      <c r="H11">
        <v>2315</v>
      </c>
      <c r="I11" t="s">
        <v>7</v>
      </c>
    </row>
    <row r="12" spans="1:10" x14ac:dyDescent="0.3">
      <c r="A12">
        <v>6</v>
      </c>
      <c r="B12" t="str">
        <f t="shared" si="0"/>
        <v>Jun</v>
      </c>
      <c r="C12" s="5" t="s">
        <v>24</v>
      </c>
      <c r="D12" s="1">
        <v>2.0712592592592591E-2</v>
      </c>
      <c r="E12">
        <v>370678</v>
      </c>
      <c r="F12">
        <v>11523</v>
      </c>
      <c r="G12" t="s">
        <v>11</v>
      </c>
      <c r="H12">
        <v>11740</v>
      </c>
      <c r="I12" t="s">
        <v>11</v>
      </c>
    </row>
    <row r="13" spans="1:10" hidden="1" x14ac:dyDescent="0.3">
      <c r="A13">
        <v>6</v>
      </c>
      <c r="B13" t="str">
        <f t="shared" si="0"/>
        <v>Jun</v>
      </c>
      <c r="C13" s="5" t="s">
        <v>26</v>
      </c>
      <c r="D13" s="1">
        <v>1.0014652777777777E-2</v>
      </c>
      <c r="E13">
        <v>358912</v>
      </c>
      <c r="F13">
        <v>3318</v>
      </c>
      <c r="G13" t="s">
        <v>7</v>
      </c>
      <c r="H13">
        <v>3643</v>
      </c>
      <c r="I13" t="s">
        <v>12</v>
      </c>
    </row>
  </sheetData>
  <autoFilter ref="A1:I13">
    <filterColumn colId="2">
      <filters>
        <filter val="casual riders"/>
      </filters>
    </filterColumn>
  </autoFilter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B10"/>
  <sheetViews>
    <sheetView workbookViewId="0">
      <selection activeCell="A3" sqref="A3:B9"/>
    </sheetView>
  </sheetViews>
  <sheetFormatPr defaultRowHeight="14.4" x14ac:dyDescent="0.3"/>
  <cols>
    <col min="1" max="1" width="12.5546875" bestFit="1" customWidth="1"/>
    <col min="2" max="2" width="20.44140625" bestFit="1" customWidth="1"/>
    <col min="3" max="3" width="6" bestFit="1" customWidth="1"/>
    <col min="4" max="7" width="7" bestFit="1" customWidth="1"/>
    <col min="8" max="8" width="10.77734375" bestFit="1" customWidth="1"/>
  </cols>
  <sheetData>
    <row r="3" spans="1:2" x14ac:dyDescent="0.3">
      <c r="A3" s="2" t="s">
        <v>14</v>
      </c>
      <c r="B3" t="s">
        <v>23</v>
      </c>
    </row>
    <row r="4" spans="1:2" x14ac:dyDescent="0.3">
      <c r="A4" s="3" t="s">
        <v>15</v>
      </c>
      <c r="B4" s="4">
        <v>96829</v>
      </c>
    </row>
    <row r="5" spans="1:2" x14ac:dyDescent="0.3">
      <c r="A5" s="3" t="s">
        <v>16</v>
      </c>
      <c r="B5" s="4">
        <v>49622</v>
      </c>
    </row>
    <row r="6" spans="1:2" x14ac:dyDescent="0.3">
      <c r="A6" s="3" t="s">
        <v>17</v>
      </c>
      <c r="B6" s="4">
        <v>228496</v>
      </c>
    </row>
    <row r="7" spans="1:2" x14ac:dyDescent="0.3">
      <c r="A7" s="3" t="s">
        <v>18</v>
      </c>
      <c r="B7" s="4">
        <v>337229</v>
      </c>
    </row>
    <row r="8" spans="1:2" x14ac:dyDescent="0.3">
      <c r="A8" s="3" t="s">
        <v>19</v>
      </c>
      <c r="B8" s="4">
        <v>531631</v>
      </c>
    </row>
    <row r="9" spans="1:2" x14ac:dyDescent="0.3">
      <c r="A9" s="3" t="s">
        <v>20</v>
      </c>
      <c r="B9" s="4">
        <v>729590</v>
      </c>
    </row>
    <row r="10" spans="1:2" x14ac:dyDescent="0.3">
      <c r="A10" s="3" t="s">
        <v>21</v>
      </c>
      <c r="B10" s="4">
        <v>1973397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H7"/>
  <sheetViews>
    <sheetView workbookViewId="0">
      <selection activeCell="G11" sqref="G11"/>
    </sheetView>
  </sheetViews>
  <sheetFormatPr defaultRowHeight="14.4" x14ac:dyDescent="0.3"/>
  <cols>
    <col min="1" max="1" width="20.44140625" bestFit="1" customWidth="1"/>
    <col min="2" max="2" width="15.5546875" bestFit="1" customWidth="1"/>
    <col min="3" max="3" width="6" bestFit="1" customWidth="1"/>
    <col min="4" max="7" width="7" bestFit="1" customWidth="1"/>
    <col min="8" max="8" width="10.77734375" bestFit="1" customWidth="1"/>
  </cols>
  <sheetData>
    <row r="3" spans="1:8" x14ac:dyDescent="0.3">
      <c r="A3" s="2" t="s">
        <v>23</v>
      </c>
      <c r="B3" s="2" t="s">
        <v>22</v>
      </c>
    </row>
    <row r="4" spans="1:8" x14ac:dyDescent="0.3">
      <c r="A4" s="2" t="s">
        <v>14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 t="s">
        <v>20</v>
      </c>
      <c r="H4" t="s">
        <v>21</v>
      </c>
    </row>
    <row r="5" spans="1:8" x14ac:dyDescent="0.3">
      <c r="A5" s="3" t="s">
        <v>26</v>
      </c>
      <c r="B5" s="4">
        <v>78713</v>
      </c>
      <c r="C5" s="4">
        <v>39491</v>
      </c>
      <c r="D5" s="4">
        <v>144463</v>
      </c>
      <c r="E5" s="4">
        <v>200628</v>
      </c>
      <c r="F5" s="4">
        <v>274715</v>
      </c>
      <c r="G5" s="4">
        <v>358912</v>
      </c>
      <c r="H5" s="4">
        <v>1096922</v>
      </c>
    </row>
    <row r="6" spans="1:8" x14ac:dyDescent="0.3">
      <c r="A6" s="3" t="s">
        <v>24</v>
      </c>
      <c r="B6" s="4">
        <v>18116</v>
      </c>
      <c r="C6" s="4">
        <v>10131</v>
      </c>
      <c r="D6" s="4">
        <v>84033</v>
      </c>
      <c r="E6" s="4">
        <v>136601</v>
      </c>
      <c r="F6" s="4">
        <v>256916</v>
      </c>
      <c r="G6" s="4">
        <v>370678</v>
      </c>
      <c r="H6" s="4">
        <v>876475</v>
      </c>
    </row>
    <row r="7" spans="1:8" x14ac:dyDescent="0.3">
      <c r="A7" s="3" t="s">
        <v>21</v>
      </c>
      <c r="B7" s="4">
        <v>96829</v>
      </c>
      <c r="C7" s="4">
        <v>49622</v>
      </c>
      <c r="D7" s="4">
        <v>228496</v>
      </c>
      <c r="E7" s="4">
        <v>337229</v>
      </c>
      <c r="F7" s="4">
        <v>531631</v>
      </c>
      <c r="G7" s="4">
        <v>729590</v>
      </c>
      <c r="H7" s="4">
        <v>1973397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K7"/>
  <sheetViews>
    <sheetView workbookViewId="0">
      <selection activeCell="K6" sqref="K6"/>
    </sheetView>
  </sheetViews>
  <sheetFormatPr defaultRowHeight="14.4" x14ac:dyDescent="0.3"/>
  <cols>
    <col min="1" max="1" width="21.5546875" bestFit="1" customWidth="1"/>
    <col min="2" max="2" width="15.5546875" bestFit="1" customWidth="1"/>
    <col min="3" max="7" width="8.109375" bestFit="1" customWidth="1"/>
    <col min="8" max="8" width="10.77734375" bestFit="1" customWidth="1"/>
    <col min="9" max="13" width="8.109375" bestFit="1" customWidth="1"/>
    <col min="14" max="14" width="10.77734375" bestFit="1" customWidth="1"/>
  </cols>
  <sheetData>
    <row r="3" spans="1:11" x14ac:dyDescent="0.3">
      <c r="A3" s="2" t="s">
        <v>27</v>
      </c>
      <c r="B3" s="2" t="s">
        <v>22</v>
      </c>
    </row>
    <row r="4" spans="1:11" x14ac:dyDescent="0.3">
      <c r="A4" s="2" t="s">
        <v>14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 t="s">
        <v>20</v>
      </c>
      <c r="H4" t="s">
        <v>21</v>
      </c>
    </row>
    <row r="5" spans="1:11" x14ac:dyDescent="0.3">
      <c r="A5" s="3" t="s">
        <v>26</v>
      </c>
      <c r="B5" s="9">
        <v>8.8078703703703704E-3</v>
      </c>
      <c r="C5" s="9">
        <v>1.1018518518518518E-2</v>
      </c>
      <c r="D5" s="9">
        <v>9.6296296296296303E-3</v>
      </c>
      <c r="E5" s="9">
        <v>1.0081018518518519E-2</v>
      </c>
      <c r="F5" s="9">
        <v>1.0046296296296296E-2</v>
      </c>
      <c r="G5" s="9">
        <v>1.0011574074074074E-2</v>
      </c>
      <c r="H5" s="9">
        <v>5.9594907407407409E-2</v>
      </c>
      <c r="I5" s="9">
        <f>AVERAGE(B5:G5)</f>
        <v>9.9324845679012348E-3</v>
      </c>
    </row>
    <row r="6" spans="1:11" x14ac:dyDescent="0.3">
      <c r="A6" s="3" t="s">
        <v>24</v>
      </c>
      <c r="B6" s="9">
        <v>1.5185185185185185E-2</v>
      </c>
      <c r="C6" s="9">
        <v>2.2141203703703705E-2</v>
      </c>
      <c r="D6" s="9">
        <v>2.2314814814814815E-2</v>
      </c>
      <c r="E6" s="9">
        <v>2.1990740740740741E-2</v>
      </c>
      <c r="F6" s="9">
        <v>2.2326388888888885E-2</v>
      </c>
      <c r="G6" s="9">
        <v>2.071759259259259E-2</v>
      </c>
      <c r="H6" s="9">
        <v>0.12467592592592591</v>
      </c>
      <c r="I6" s="9">
        <f>AVERAGE(B6:G6)</f>
        <v>2.077932098765432E-2</v>
      </c>
      <c r="K6" s="9">
        <f>I6-I5</f>
        <v>1.0846836419753085E-2</v>
      </c>
    </row>
    <row r="7" spans="1:11" x14ac:dyDescent="0.3">
      <c r="A7" s="3" t="s">
        <v>21</v>
      </c>
      <c r="B7" s="9">
        <v>2.3993055555555556E-2</v>
      </c>
      <c r="C7" s="9">
        <v>3.3159722222222222E-2</v>
      </c>
      <c r="D7" s="9">
        <v>3.1944444444444442E-2</v>
      </c>
      <c r="E7" s="9">
        <v>3.2071759259259258E-2</v>
      </c>
      <c r="F7" s="9">
        <v>3.2372685185185185E-2</v>
      </c>
      <c r="G7" s="9">
        <v>3.0729166666666662E-2</v>
      </c>
      <c r="H7" s="9">
        <v>0.18427083333333333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E12"/>
  <sheetViews>
    <sheetView tabSelected="1" topLeftCell="A13" workbookViewId="0">
      <selection activeCell="F29" sqref="F29"/>
    </sheetView>
  </sheetViews>
  <sheetFormatPr defaultRowHeight="14.4" x14ac:dyDescent="0.3"/>
  <cols>
    <col min="1" max="1" width="27.109375" bestFit="1" customWidth="1"/>
    <col min="2" max="2" width="17.21875" bestFit="1" customWidth="1"/>
    <col min="3" max="3" width="18.77734375" bestFit="1" customWidth="1"/>
    <col min="4" max="4" width="20" bestFit="1" customWidth="1"/>
    <col min="5" max="6" width="10.77734375" bestFit="1" customWidth="1"/>
    <col min="7" max="7" width="21.44140625" bestFit="1" customWidth="1"/>
    <col min="8" max="8" width="16.109375" bestFit="1" customWidth="1"/>
    <col min="9" max="9" width="10.77734375" bestFit="1" customWidth="1"/>
  </cols>
  <sheetData>
    <row r="3" spans="1:5" x14ac:dyDescent="0.3">
      <c r="A3" s="2" t="s">
        <v>28</v>
      </c>
      <c r="B3" s="2" t="s">
        <v>22</v>
      </c>
    </row>
    <row r="4" spans="1:5" x14ac:dyDescent="0.3">
      <c r="B4" t="s">
        <v>26</v>
      </c>
      <c r="D4" t="s">
        <v>37</v>
      </c>
      <c r="E4" t="s">
        <v>21</v>
      </c>
    </row>
    <row r="5" spans="1:5" x14ac:dyDescent="0.3">
      <c r="A5" s="2" t="s">
        <v>14</v>
      </c>
      <c r="B5" t="s">
        <v>7</v>
      </c>
      <c r="C5" t="s">
        <v>8</v>
      </c>
    </row>
    <row r="6" spans="1:5" x14ac:dyDescent="0.3">
      <c r="A6" s="3" t="s">
        <v>15</v>
      </c>
      <c r="B6" s="4">
        <v>840</v>
      </c>
      <c r="C6" s="4"/>
      <c r="D6" s="4">
        <v>840</v>
      </c>
      <c r="E6" s="4">
        <v>840</v>
      </c>
    </row>
    <row r="7" spans="1:5" x14ac:dyDescent="0.3">
      <c r="A7" s="3" t="s">
        <v>16</v>
      </c>
      <c r="B7" s="4"/>
      <c r="C7" s="4">
        <v>440</v>
      </c>
      <c r="D7" s="4">
        <v>440</v>
      </c>
      <c r="E7" s="4">
        <v>440</v>
      </c>
    </row>
    <row r="8" spans="1:5" x14ac:dyDescent="0.3">
      <c r="A8" s="3" t="s">
        <v>17</v>
      </c>
      <c r="B8" s="4">
        <v>1323</v>
      </c>
      <c r="C8" s="4"/>
      <c r="D8" s="4">
        <v>1323</v>
      </c>
      <c r="E8" s="4">
        <v>1323</v>
      </c>
    </row>
    <row r="9" spans="1:5" x14ac:dyDescent="0.3">
      <c r="A9" s="3" t="s">
        <v>18</v>
      </c>
      <c r="B9" s="4">
        <v>1716</v>
      </c>
      <c r="C9" s="4"/>
      <c r="D9" s="4">
        <v>1716</v>
      </c>
      <c r="E9" s="4">
        <v>1716</v>
      </c>
    </row>
    <row r="10" spans="1:5" x14ac:dyDescent="0.3">
      <c r="A10" s="3" t="s">
        <v>19</v>
      </c>
      <c r="B10" s="4">
        <v>2275</v>
      </c>
      <c r="C10" s="4"/>
      <c r="D10" s="4">
        <v>2275</v>
      </c>
      <c r="E10" s="4">
        <v>2275</v>
      </c>
    </row>
    <row r="11" spans="1:5" x14ac:dyDescent="0.3">
      <c r="A11" s="3" t="s">
        <v>20</v>
      </c>
      <c r="B11" s="4">
        <v>3318</v>
      </c>
      <c r="C11" s="4"/>
      <c r="D11" s="4">
        <v>3318</v>
      </c>
      <c r="E11" s="4">
        <v>3318</v>
      </c>
    </row>
    <row r="12" spans="1:5" x14ac:dyDescent="0.3">
      <c r="A12" s="3" t="s">
        <v>21</v>
      </c>
      <c r="B12" s="4">
        <v>9472</v>
      </c>
      <c r="C12" s="4">
        <v>440</v>
      </c>
      <c r="D12" s="4">
        <v>9912</v>
      </c>
      <c r="E12" s="4">
        <v>9912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2"/>
  <sheetViews>
    <sheetView workbookViewId="0">
      <pane ySplit="1" topLeftCell="A10" activePane="bottomLeft" state="frozen"/>
      <selection pane="bottomLeft" activeCell="J32" sqref="J32"/>
    </sheetView>
  </sheetViews>
  <sheetFormatPr defaultRowHeight="14.4" x14ac:dyDescent="0.3"/>
  <sheetData>
    <row r="1" spans="1:6" x14ac:dyDescent="0.3">
      <c r="A1" s="6" t="s">
        <v>0</v>
      </c>
      <c r="B1" s="6" t="s">
        <v>29</v>
      </c>
      <c r="C1" s="6" t="s">
        <v>25</v>
      </c>
      <c r="D1" s="6" t="s">
        <v>30</v>
      </c>
      <c r="E1" s="6" t="s">
        <v>31</v>
      </c>
      <c r="F1" s="6" t="s">
        <v>32</v>
      </c>
    </row>
    <row r="2" spans="1:6" x14ac:dyDescent="0.3">
      <c r="A2">
        <v>1</v>
      </c>
      <c r="B2" t="str">
        <f>TEXT(A2*29,"mmm")</f>
        <v>Jan</v>
      </c>
      <c r="C2" t="s">
        <v>24</v>
      </c>
      <c r="D2" t="s">
        <v>33</v>
      </c>
      <c r="E2">
        <v>8258</v>
      </c>
      <c r="F2" s="1">
        <v>1.5552962962962963E-2</v>
      </c>
    </row>
    <row r="3" spans="1:6" x14ac:dyDescent="0.3">
      <c r="A3">
        <v>1</v>
      </c>
      <c r="B3" t="str">
        <f t="shared" ref="B3:B32" si="0">TEXT(A3*29,"mmm")</f>
        <v>Jan</v>
      </c>
      <c r="C3" t="s">
        <v>26</v>
      </c>
      <c r="D3" t="s">
        <v>33</v>
      </c>
      <c r="E3">
        <v>53439</v>
      </c>
      <c r="F3" s="1">
        <v>9.1014351851851864E-3</v>
      </c>
    </row>
    <row r="4" spans="1:6" x14ac:dyDescent="0.3">
      <c r="A4">
        <v>1</v>
      </c>
      <c r="B4" t="str">
        <f t="shared" si="0"/>
        <v>Jan</v>
      </c>
      <c r="C4" t="s">
        <v>24</v>
      </c>
      <c r="D4" t="s">
        <v>34</v>
      </c>
      <c r="E4">
        <v>2105</v>
      </c>
      <c r="F4" s="1">
        <v>3.2329490740740742E-2</v>
      </c>
    </row>
    <row r="5" spans="1:6" x14ac:dyDescent="0.3">
      <c r="A5">
        <v>1</v>
      </c>
      <c r="B5" t="str">
        <f t="shared" si="0"/>
        <v>Jan</v>
      </c>
      <c r="C5" t="s">
        <v>26</v>
      </c>
      <c r="D5" t="s">
        <v>34</v>
      </c>
      <c r="E5">
        <v>1</v>
      </c>
      <c r="F5" s="1">
        <v>1.8287037037037037E-3</v>
      </c>
    </row>
    <row r="6" spans="1:6" x14ac:dyDescent="0.3">
      <c r="A6">
        <v>1</v>
      </c>
      <c r="B6" t="str">
        <f t="shared" si="0"/>
        <v>Jan</v>
      </c>
      <c r="C6" t="s">
        <v>24</v>
      </c>
      <c r="D6" t="s">
        <v>35</v>
      </c>
      <c r="E6">
        <v>7753</v>
      </c>
      <c r="F6" s="1">
        <v>1.0143958333333333E-2</v>
      </c>
    </row>
    <row r="7" spans="1:6" x14ac:dyDescent="0.3">
      <c r="A7">
        <v>1</v>
      </c>
      <c r="B7" t="str">
        <f t="shared" si="0"/>
        <v>Jan</v>
      </c>
      <c r="C7" t="s">
        <v>26</v>
      </c>
      <c r="D7" t="s">
        <v>35</v>
      </c>
      <c r="E7">
        <v>25273</v>
      </c>
      <c r="F7" s="1">
        <v>8.1756134259259265E-3</v>
      </c>
    </row>
    <row r="8" spans="1:6" x14ac:dyDescent="0.3">
      <c r="A8">
        <v>2</v>
      </c>
      <c r="B8" t="str">
        <f t="shared" si="0"/>
        <v>Feb</v>
      </c>
      <c r="C8" t="s">
        <v>24</v>
      </c>
      <c r="D8" t="s">
        <v>33</v>
      </c>
      <c r="E8">
        <v>5695</v>
      </c>
      <c r="F8" s="1">
        <v>2.2544791666666664E-2</v>
      </c>
    </row>
    <row r="9" spans="1:6" x14ac:dyDescent="0.3">
      <c r="A9">
        <v>2</v>
      </c>
      <c r="B9" t="str">
        <f t="shared" si="0"/>
        <v>Feb</v>
      </c>
      <c r="C9" t="s">
        <v>26</v>
      </c>
      <c r="D9" t="s">
        <v>33</v>
      </c>
      <c r="E9">
        <v>29317</v>
      </c>
      <c r="F9" s="1">
        <v>1.1530312500000001E-2</v>
      </c>
    </row>
    <row r="10" spans="1:6" x14ac:dyDescent="0.3">
      <c r="A10">
        <v>2</v>
      </c>
      <c r="B10" t="str">
        <f t="shared" si="0"/>
        <v>Feb</v>
      </c>
      <c r="C10" t="s">
        <v>24</v>
      </c>
      <c r="D10" t="s">
        <v>34</v>
      </c>
      <c r="E10">
        <v>1271</v>
      </c>
      <c r="F10" s="1">
        <v>4.507645833333334E-2</v>
      </c>
    </row>
    <row r="11" spans="1:6" x14ac:dyDescent="0.3">
      <c r="A11">
        <v>2</v>
      </c>
      <c r="B11" t="str">
        <f t="shared" si="0"/>
        <v>Feb</v>
      </c>
      <c r="C11" t="s">
        <v>24</v>
      </c>
      <c r="D11" t="s">
        <v>35</v>
      </c>
      <c r="E11">
        <v>3165</v>
      </c>
      <c r="F11" s="1">
        <v>1.2220069444444447E-2</v>
      </c>
    </row>
    <row r="12" spans="1:6" x14ac:dyDescent="0.3">
      <c r="A12">
        <v>2</v>
      </c>
      <c r="B12" t="str">
        <f t="shared" si="0"/>
        <v>Feb</v>
      </c>
      <c r="C12" t="s">
        <v>26</v>
      </c>
      <c r="D12" t="s">
        <v>35</v>
      </c>
      <c r="E12">
        <v>10174</v>
      </c>
      <c r="F12" s="1">
        <v>9.5546527777777782E-3</v>
      </c>
    </row>
    <row r="13" spans="1:6" x14ac:dyDescent="0.3">
      <c r="A13">
        <v>3</v>
      </c>
      <c r="B13" t="str">
        <f t="shared" si="0"/>
        <v>Mar</v>
      </c>
      <c r="C13" t="s">
        <v>24</v>
      </c>
      <c r="D13" t="s">
        <v>33</v>
      </c>
      <c r="E13">
        <v>45528</v>
      </c>
      <c r="F13" s="1">
        <v>2.0497013888888888E-2</v>
      </c>
    </row>
    <row r="14" spans="1:6" x14ac:dyDescent="0.3">
      <c r="A14">
        <v>3</v>
      </c>
      <c r="B14" t="str">
        <f t="shared" si="0"/>
        <v>Mar</v>
      </c>
      <c r="C14" t="s">
        <v>26</v>
      </c>
      <c r="D14" t="s">
        <v>33</v>
      </c>
      <c r="E14">
        <v>107017</v>
      </c>
      <c r="F14" s="1">
        <v>9.7693171296296295E-3</v>
      </c>
    </row>
    <row r="15" spans="1:6" x14ac:dyDescent="0.3">
      <c r="A15">
        <v>3</v>
      </c>
      <c r="B15" t="str">
        <f t="shared" si="0"/>
        <v>Mar</v>
      </c>
      <c r="C15" t="s">
        <v>24</v>
      </c>
      <c r="D15" t="s">
        <v>34</v>
      </c>
      <c r="E15">
        <v>15657</v>
      </c>
      <c r="F15" s="1">
        <v>3.8306886574074078E-2</v>
      </c>
    </row>
    <row r="16" spans="1:6" x14ac:dyDescent="0.3">
      <c r="A16">
        <v>3</v>
      </c>
      <c r="B16" t="str">
        <f t="shared" si="0"/>
        <v>Mar</v>
      </c>
      <c r="C16" t="s">
        <v>24</v>
      </c>
      <c r="D16" t="s">
        <v>35</v>
      </c>
      <c r="E16">
        <v>22848</v>
      </c>
      <c r="F16" s="1">
        <v>1.4966354166666666E-2</v>
      </c>
    </row>
    <row r="17" spans="1:6" x14ac:dyDescent="0.3">
      <c r="A17">
        <v>3</v>
      </c>
      <c r="B17" t="str">
        <f t="shared" si="0"/>
        <v>Mar</v>
      </c>
      <c r="C17" t="s">
        <v>26</v>
      </c>
      <c r="D17" t="s">
        <v>35</v>
      </c>
      <c r="E17">
        <v>37446</v>
      </c>
      <c r="F17" s="1">
        <v>9.2380208333333342E-3</v>
      </c>
    </row>
    <row r="18" spans="1:6" x14ac:dyDescent="0.3">
      <c r="A18">
        <v>4</v>
      </c>
      <c r="B18" t="str">
        <f t="shared" si="0"/>
        <v>Apr</v>
      </c>
      <c r="C18" t="s">
        <v>24</v>
      </c>
      <c r="D18" t="s">
        <v>33</v>
      </c>
      <c r="E18">
        <v>70776</v>
      </c>
      <c r="F18" s="1">
        <v>2.0250648148148146E-2</v>
      </c>
    </row>
    <row r="19" spans="1:6" x14ac:dyDescent="0.3">
      <c r="A19">
        <v>4</v>
      </c>
      <c r="B19" t="str">
        <f t="shared" si="0"/>
        <v>Apr</v>
      </c>
      <c r="C19" t="s">
        <v>26</v>
      </c>
      <c r="D19" t="s">
        <v>33</v>
      </c>
      <c r="E19">
        <v>143843</v>
      </c>
      <c r="F19" s="1">
        <v>1.0170324074074073E-2</v>
      </c>
    </row>
    <row r="20" spans="1:6" x14ac:dyDescent="0.3">
      <c r="A20">
        <v>4</v>
      </c>
      <c r="B20" t="str">
        <f t="shared" si="0"/>
        <v>Apr</v>
      </c>
      <c r="C20" t="s">
        <v>24</v>
      </c>
      <c r="D20" t="s">
        <v>34</v>
      </c>
      <c r="E20">
        <v>24714</v>
      </c>
      <c r="F20" s="1">
        <v>3.8718888888888893E-2</v>
      </c>
    </row>
    <row r="21" spans="1:6" x14ac:dyDescent="0.3">
      <c r="A21">
        <v>4</v>
      </c>
      <c r="B21" t="str">
        <f t="shared" si="0"/>
        <v>Apr</v>
      </c>
      <c r="C21" t="s">
        <v>24</v>
      </c>
      <c r="D21" t="s">
        <v>35</v>
      </c>
      <c r="E21">
        <v>41111</v>
      </c>
      <c r="F21" s="1">
        <v>1.4928703703703703E-2</v>
      </c>
    </row>
    <row r="22" spans="1:6" x14ac:dyDescent="0.3">
      <c r="A22">
        <v>4</v>
      </c>
      <c r="B22" t="str">
        <f t="shared" si="0"/>
        <v>Apr</v>
      </c>
      <c r="C22" t="s">
        <v>26</v>
      </c>
      <c r="D22" t="s">
        <v>35</v>
      </c>
      <c r="E22">
        <v>56785</v>
      </c>
      <c r="F22" s="1">
        <v>9.8572800925925928E-3</v>
      </c>
    </row>
    <row r="23" spans="1:6" x14ac:dyDescent="0.3">
      <c r="A23">
        <v>5</v>
      </c>
      <c r="B23" t="str">
        <f t="shared" si="0"/>
        <v>May</v>
      </c>
      <c r="C23" t="s">
        <v>24</v>
      </c>
      <c r="D23" t="s">
        <v>33</v>
      </c>
      <c r="E23">
        <v>123950</v>
      </c>
      <c r="F23" s="1">
        <v>2.1112708333333331E-2</v>
      </c>
    </row>
    <row r="24" spans="1:6" x14ac:dyDescent="0.3">
      <c r="A24">
        <v>5</v>
      </c>
      <c r="B24" t="str">
        <f t="shared" si="0"/>
        <v>May</v>
      </c>
      <c r="C24" t="s">
        <v>26</v>
      </c>
      <c r="D24" t="s">
        <v>33</v>
      </c>
      <c r="E24">
        <v>185142</v>
      </c>
      <c r="F24" s="1">
        <v>1.0293530092592594E-2</v>
      </c>
    </row>
    <row r="25" spans="1:6" x14ac:dyDescent="0.3">
      <c r="A25">
        <v>5</v>
      </c>
      <c r="B25" t="str">
        <f t="shared" si="0"/>
        <v>May</v>
      </c>
      <c r="C25" t="s">
        <v>24</v>
      </c>
      <c r="D25" t="s">
        <v>34</v>
      </c>
      <c r="E25">
        <v>43353</v>
      </c>
      <c r="F25" s="1">
        <v>3.9799999999999995E-2</v>
      </c>
    </row>
    <row r="26" spans="1:6" x14ac:dyDescent="0.3">
      <c r="A26">
        <v>5</v>
      </c>
      <c r="B26" t="str">
        <f t="shared" si="0"/>
        <v>May</v>
      </c>
      <c r="C26" t="s">
        <v>24</v>
      </c>
      <c r="D26" t="s">
        <v>35</v>
      </c>
      <c r="E26">
        <v>89613</v>
      </c>
      <c r="F26" s="1">
        <v>1.5562094907407406E-2</v>
      </c>
    </row>
    <row r="27" spans="1:6" x14ac:dyDescent="0.3">
      <c r="A27">
        <v>5</v>
      </c>
      <c r="B27" t="str">
        <f t="shared" si="0"/>
        <v>May</v>
      </c>
      <c r="C27" t="s">
        <v>26</v>
      </c>
      <c r="D27" t="s">
        <v>35</v>
      </c>
      <c r="E27">
        <v>89573</v>
      </c>
      <c r="F27" s="1">
        <v>9.5227893518518517E-3</v>
      </c>
    </row>
    <row r="28" spans="1:6" x14ac:dyDescent="0.3">
      <c r="A28">
        <v>6</v>
      </c>
      <c r="B28" t="str">
        <f t="shared" si="0"/>
        <v>Jun</v>
      </c>
      <c r="C28" t="s">
        <v>24</v>
      </c>
      <c r="D28" t="s">
        <v>33</v>
      </c>
      <c r="E28">
        <v>188242</v>
      </c>
      <c r="F28" s="1">
        <v>1.9534467592592593E-2</v>
      </c>
    </row>
    <row r="29" spans="1:6" x14ac:dyDescent="0.3">
      <c r="A29">
        <v>6</v>
      </c>
      <c r="B29" t="str">
        <f t="shared" si="0"/>
        <v>Jun</v>
      </c>
      <c r="C29" t="s">
        <v>26</v>
      </c>
      <c r="D29" t="s">
        <v>33</v>
      </c>
      <c r="E29">
        <v>246774</v>
      </c>
      <c r="F29" s="1">
        <v>1.0198101851851852E-2</v>
      </c>
    </row>
    <row r="30" spans="1:6" x14ac:dyDescent="0.3">
      <c r="A30">
        <v>6</v>
      </c>
      <c r="B30" t="str">
        <f t="shared" si="0"/>
        <v>Jun</v>
      </c>
      <c r="C30" t="s">
        <v>24</v>
      </c>
      <c r="D30" t="s">
        <v>34</v>
      </c>
      <c r="E30">
        <v>51716</v>
      </c>
      <c r="F30" s="1">
        <v>3.938542824074074E-2</v>
      </c>
    </row>
    <row r="31" spans="1:6" x14ac:dyDescent="0.3">
      <c r="A31">
        <v>6</v>
      </c>
      <c r="B31" t="str">
        <f t="shared" si="0"/>
        <v>Jun</v>
      </c>
      <c r="C31" t="s">
        <v>24</v>
      </c>
      <c r="D31" t="s">
        <v>35</v>
      </c>
      <c r="E31">
        <v>130720</v>
      </c>
      <c r="F31" s="1">
        <v>1.5021712962962961E-2</v>
      </c>
    </row>
    <row r="32" spans="1:6" x14ac:dyDescent="0.3">
      <c r="A32">
        <v>6</v>
      </c>
      <c r="B32" t="str">
        <f t="shared" si="0"/>
        <v>Jun</v>
      </c>
      <c r="C32" t="s">
        <v>26</v>
      </c>
      <c r="D32" t="s">
        <v>35</v>
      </c>
      <c r="E32">
        <v>112138</v>
      </c>
      <c r="F32" s="1">
        <v>9.6109490740740738E-3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1"/>
  <sheetViews>
    <sheetView topLeftCell="C1" workbookViewId="0">
      <selection activeCell="F20" sqref="F20"/>
    </sheetView>
  </sheetViews>
  <sheetFormatPr defaultRowHeight="14.4" x14ac:dyDescent="0.3"/>
  <cols>
    <col min="1" max="1" width="18.33203125" customWidth="1"/>
    <col min="2" max="2" width="9.77734375" customWidth="1"/>
    <col min="3" max="3" width="6" bestFit="1" customWidth="1"/>
    <col min="4" max="7" width="7" bestFit="1" customWidth="1"/>
    <col min="8" max="8" width="10.77734375" bestFit="1" customWidth="1"/>
    <col min="9" max="10" width="8.88671875" customWidth="1"/>
    <col min="13" max="13" width="9.77734375" customWidth="1"/>
  </cols>
  <sheetData>
    <row r="1" spans="1:13" x14ac:dyDescent="0.3">
      <c r="A1" t="s">
        <v>36</v>
      </c>
      <c r="B1" t="s">
        <v>22</v>
      </c>
    </row>
    <row r="2" spans="1:13" x14ac:dyDescent="0.3">
      <c r="A2" t="s">
        <v>14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  <c r="G2" t="s">
        <v>20</v>
      </c>
      <c r="H2" t="s">
        <v>21</v>
      </c>
    </row>
    <row r="3" spans="1:13" x14ac:dyDescent="0.3">
      <c r="A3" s="3" t="s">
        <v>26</v>
      </c>
      <c r="B3">
        <v>78713</v>
      </c>
      <c r="C3">
        <v>39491</v>
      </c>
      <c r="D3">
        <v>144463</v>
      </c>
      <c r="E3">
        <v>200628</v>
      </c>
      <c r="F3">
        <v>274715</v>
      </c>
      <c r="G3">
        <v>358912</v>
      </c>
      <c r="H3">
        <v>1096922</v>
      </c>
      <c r="M3" t="str">
        <f>UPPER(K4)</f>
        <v/>
      </c>
    </row>
    <row r="4" spans="1:13" x14ac:dyDescent="0.3">
      <c r="A4" s="8" t="s">
        <v>33</v>
      </c>
      <c r="B4">
        <v>53439</v>
      </c>
      <c r="C4">
        <v>29317</v>
      </c>
      <c r="D4">
        <v>107017</v>
      </c>
      <c r="E4">
        <v>143843</v>
      </c>
      <c r="F4">
        <v>185142</v>
      </c>
      <c r="G4">
        <v>246774</v>
      </c>
      <c r="H4">
        <v>765532</v>
      </c>
      <c r="K4" s="10"/>
    </row>
    <row r="5" spans="1:13" x14ac:dyDescent="0.3">
      <c r="A5" s="8" t="s">
        <v>34</v>
      </c>
      <c r="B5">
        <v>1</v>
      </c>
      <c r="H5">
        <v>1</v>
      </c>
    </row>
    <row r="6" spans="1:13" x14ac:dyDescent="0.3">
      <c r="A6" s="8" t="s">
        <v>35</v>
      </c>
      <c r="B6">
        <v>25273</v>
      </c>
      <c r="C6">
        <v>10174</v>
      </c>
      <c r="D6">
        <v>37446</v>
      </c>
      <c r="E6">
        <v>56785</v>
      </c>
      <c r="F6">
        <v>89573</v>
      </c>
      <c r="G6">
        <v>112138</v>
      </c>
      <c r="H6">
        <v>331389</v>
      </c>
    </row>
    <row r="7" spans="1:13" x14ac:dyDescent="0.3">
      <c r="A7" s="3" t="s">
        <v>24</v>
      </c>
      <c r="B7">
        <v>18116</v>
      </c>
      <c r="C7">
        <v>10131</v>
      </c>
      <c r="D7">
        <v>84033</v>
      </c>
      <c r="E7">
        <v>136601</v>
      </c>
      <c r="F7">
        <v>256916</v>
      </c>
      <c r="G7">
        <v>370678</v>
      </c>
      <c r="H7">
        <v>876475</v>
      </c>
    </row>
    <row r="8" spans="1:13" x14ac:dyDescent="0.3">
      <c r="A8" s="8" t="s">
        <v>33</v>
      </c>
      <c r="B8">
        <v>8258</v>
      </c>
      <c r="C8">
        <v>5695</v>
      </c>
      <c r="D8">
        <v>45528</v>
      </c>
      <c r="E8">
        <v>70776</v>
      </c>
      <c r="F8">
        <v>123950</v>
      </c>
      <c r="G8">
        <v>188242</v>
      </c>
      <c r="H8">
        <v>442449</v>
      </c>
    </row>
    <row r="9" spans="1:13" x14ac:dyDescent="0.3">
      <c r="A9" s="8" t="s">
        <v>34</v>
      </c>
      <c r="B9">
        <v>2105</v>
      </c>
      <c r="C9">
        <v>1271</v>
      </c>
      <c r="D9">
        <v>15657</v>
      </c>
      <c r="E9">
        <v>24714</v>
      </c>
      <c r="F9">
        <v>43353</v>
      </c>
      <c r="G9">
        <v>51716</v>
      </c>
      <c r="H9">
        <v>138816</v>
      </c>
    </row>
    <row r="10" spans="1:13" x14ac:dyDescent="0.3">
      <c r="A10" s="8" t="s">
        <v>35</v>
      </c>
      <c r="B10">
        <v>7753</v>
      </c>
      <c r="C10">
        <v>3165</v>
      </c>
      <c r="D10">
        <v>22848</v>
      </c>
      <c r="E10">
        <v>41111</v>
      </c>
      <c r="F10">
        <v>89613</v>
      </c>
      <c r="G10">
        <v>130720</v>
      </c>
      <c r="H10">
        <v>295210</v>
      </c>
    </row>
    <row r="11" spans="1:13" x14ac:dyDescent="0.3">
      <c r="A11" s="3" t="s">
        <v>21</v>
      </c>
      <c r="B11">
        <v>96829</v>
      </c>
      <c r="C11">
        <v>49622</v>
      </c>
      <c r="D11">
        <v>228496</v>
      </c>
      <c r="E11">
        <v>337229</v>
      </c>
      <c r="F11">
        <v>531631</v>
      </c>
      <c r="G11">
        <v>729590</v>
      </c>
      <c r="H11">
        <v>1973397</v>
      </c>
    </row>
  </sheetData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UserData</vt:lpstr>
      <vt:lpstr>Viz_DataTrend</vt:lpstr>
      <vt:lpstr>Viz_User&amp;UsageDistribution</vt:lpstr>
      <vt:lpstr>Viz_UserAvgRideLength</vt:lpstr>
      <vt:lpstr>Viz_StartStation</vt:lpstr>
      <vt:lpstr>rideableTypeData</vt:lpstr>
      <vt:lpstr>Viz_rideableType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riary</dc:creator>
  <cp:lastModifiedBy>riary</cp:lastModifiedBy>
  <dcterms:created xsi:type="dcterms:W3CDTF">2022-03-04T08:39:29Z</dcterms:created>
  <dcterms:modified xsi:type="dcterms:W3CDTF">2022-03-04T19:18:11Z</dcterms:modified>
</cp:coreProperties>
</file>